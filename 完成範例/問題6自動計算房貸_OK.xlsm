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玉文\Documents\EXCEL2013VBA書\完成範例\"/>
    </mc:Choice>
  </mc:AlternateContent>
  <bookViews>
    <workbookView xWindow="120" yWindow="45" windowWidth="15075" windowHeight="7830"/>
  </bookViews>
  <sheets>
    <sheet name="房貸計算" sheetId="1" r:id="rId1"/>
  </sheets>
  <calcPr calcId="152511"/>
</workbook>
</file>

<file path=xl/calcChain.xml><?xml version="1.0" encoding="utf-8"?>
<calcChain xmlns="http://schemas.openxmlformats.org/spreadsheetml/2006/main">
  <c r="D3" i="1" l="1"/>
  <c r="D4" i="1" s="1"/>
  <c r="D5" i="1" s="1"/>
  <c r="D6" i="1" s="1"/>
  <c r="D7" i="1" s="1"/>
  <c r="D8" i="1" s="1"/>
  <c r="D9" i="1" s="1"/>
  <c r="D10" i="1" l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D34" i="1" s="1"/>
  <c r="D35" i="1" s="1"/>
  <c r="D36" i="1" s="1"/>
  <c r="D37" i="1" s="1"/>
  <c r="D38" i="1" s="1"/>
  <c r="D39" i="1" s="1"/>
  <c r="D40" i="1" s="1"/>
  <c r="D41" i="1" s="1"/>
  <c r="D42" i="1" s="1"/>
  <c r="D43" i="1" s="1"/>
  <c r="D44" i="1" s="1"/>
  <c r="D45" i="1" s="1"/>
  <c r="D46" i="1" s="1"/>
  <c r="D47" i="1" s="1"/>
  <c r="D48" i="1" s="1"/>
  <c r="D49" i="1" s="1"/>
  <c r="D50" i="1" s="1"/>
  <c r="D51" i="1" s="1"/>
  <c r="D52" i="1" s="1"/>
  <c r="D53" i="1" s="1"/>
  <c r="D54" i="1" s="1"/>
  <c r="D55" i="1" s="1"/>
  <c r="D56" i="1" s="1"/>
  <c r="D57" i="1" s="1"/>
  <c r="D58" i="1" s="1"/>
  <c r="D59" i="1" s="1"/>
  <c r="D60" i="1" s="1"/>
  <c r="D61" i="1" s="1"/>
  <c r="D62" i="1" s="1"/>
  <c r="D63" i="1" s="1"/>
  <c r="D64" i="1" s="1"/>
  <c r="D65" i="1" s="1"/>
  <c r="D66" i="1" s="1"/>
  <c r="D67" i="1" s="1"/>
  <c r="D68" i="1" s="1"/>
  <c r="D69" i="1" s="1"/>
  <c r="D70" i="1" s="1"/>
  <c r="D71" i="1" s="1"/>
  <c r="D72" i="1" s="1"/>
  <c r="D73" i="1" s="1"/>
  <c r="D74" i="1" s="1"/>
  <c r="D75" i="1" s="1"/>
  <c r="D76" i="1" s="1"/>
  <c r="D77" i="1" s="1"/>
  <c r="D78" i="1" s="1"/>
  <c r="D79" i="1" s="1"/>
  <c r="D80" i="1" s="1"/>
  <c r="D81" i="1" s="1"/>
  <c r="D82" i="1" s="1"/>
  <c r="D83" i="1" s="1"/>
  <c r="D84" i="1" s="1"/>
  <c r="D85" i="1" s="1"/>
  <c r="D86" i="1" s="1"/>
  <c r="D87" i="1" s="1"/>
  <c r="D88" i="1" s="1"/>
  <c r="D89" i="1" s="1"/>
  <c r="D90" i="1" s="1"/>
  <c r="D91" i="1" s="1"/>
  <c r="D92" i="1" s="1"/>
  <c r="D93" i="1" s="1"/>
  <c r="D94" i="1" s="1"/>
  <c r="D95" i="1" s="1"/>
  <c r="D96" i="1" s="1"/>
  <c r="D97" i="1" s="1"/>
  <c r="D98" i="1" s="1"/>
  <c r="D99" i="1" s="1"/>
  <c r="D100" i="1" s="1"/>
  <c r="D101" i="1" s="1"/>
  <c r="D102" i="1" s="1"/>
  <c r="D103" i="1" s="1"/>
  <c r="D104" i="1" s="1"/>
  <c r="D105" i="1" s="1"/>
  <c r="D106" i="1" s="1"/>
  <c r="D107" i="1" s="1"/>
  <c r="D108" i="1" s="1"/>
  <c r="D109" i="1" s="1"/>
  <c r="D110" i="1" s="1"/>
  <c r="D111" i="1" s="1"/>
  <c r="D112" i="1" s="1"/>
  <c r="D113" i="1" s="1"/>
  <c r="D114" i="1" s="1"/>
  <c r="D115" i="1" s="1"/>
  <c r="D116" i="1" s="1"/>
  <c r="D117" i="1" s="1"/>
  <c r="D118" i="1" s="1"/>
  <c r="D119" i="1" s="1"/>
  <c r="D120" i="1" s="1"/>
  <c r="D121" i="1" s="1"/>
  <c r="D122" i="1" s="1"/>
  <c r="D123" i="1" s="1"/>
  <c r="D124" i="1" s="1"/>
  <c r="D125" i="1" s="1"/>
  <c r="D126" i="1" s="1"/>
  <c r="D127" i="1" s="1"/>
  <c r="D128" i="1" s="1"/>
  <c r="D129" i="1" s="1"/>
  <c r="D130" i="1" s="1"/>
  <c r="D131" i="1" s="1"/>
  <c r="D132" i="1" s="1"/>
  <c r="D133" i="1" s="1"/>
  <c r="D134" i="1" s="1"/>
  <c r="D135" i="1" s="1"/>
  <c r="D136" i="1" s="1"/>
  <c r="D137" i="1" s="1"/>
  <c r="D138" i="1" s="1"/>
  <c r="D139" i="1" s="1"/>
  <c r="D140" i="1" s="1"/>
  <c r="D141" i="1" s="1"/>
  <c r="D142" i="1" s="1"/>
  <c r="D143" i="1" s="1"/>
  <c r="D144" i="1" s="1"/>
  <c r="D145" i="1" s="1"/>
  <c r="D146" i="1" s="1"/>
  <c r="D147" i="1" s="1"/>
  <c r="D148" i="1" s="1"/>
  <c r="D149" i="1" s="1"/>
  <c r="D150" i="1" s="1"/>
  <c r="D151" i="1" s="1"/>
  <c r="D152" i="1" s="1"/>
  <c r="D153" i="1" s="1"/>
  <c r="D154" i="1" s="1"/>
  <c r="D155" i="1" s="1"/>
  <c r="D156" i="1" s="1"/>
  <c r="D157" i="1" s="1"/>
  <c r="D158" i="1" s="1"/>
  <c r="D159" i="1" s="1"/>
  <c r="D160" i="1" s="1"/>
  <c r="D161" i="1" s="1"/>
  <c r="D162" i="1" s="1"/>
  <c r="D163" i="1" s="1"/>
  <c r="D164" i="1" s="1"/>
  <c r="D165" i="1" s="1"/>
  <c r="D166" i="1" s="1"/>
  <c r="D167" i="1" s="1"/>
  <c r="D168" i="1" s="1"/>
  <c r="D169" i="1" s="1"/>
  <c r="D170" i="1" s="1"/>
  <c r="D171" i="1" s="1"/>
  <c r="D172" i="1" s="1"/>
  <c r="D173" i="1" s="1"/>
  <c r="D174" i="1" s="1"/>
  <c r="D175" i="1" s="1"/>
  <c r="D176" i="1" s="1"/>
  <c r="D177" i="1" s="1"/>
  <c r="D178" i="1" s="1"/>
  <c r="D179" i="1" s="1"/>
  <c r="D180" i="1" s="1"/>
  <c r="D181" i="1" s="1"/>
  <c r="D182" i="1" s="1"/>
  <c r="D183" i="1" s="1"/>
  <c r="D184" i="1" s="1"/>
  <c r="D185" i="1" s="1"/>
  <c r="D186" i="1" s="1"/>
  <c r="D187" i="1" s="1"/>
  <c r="D188" i="1" s="1"/>
  <c r="D189" i="1" s="1"/>
  <c r="D190" i="1" s="1"/>
  <c r="D191" i="1" s="1"/>
  <c r="D192" i="1" s="1"/>
  <c r="D193" i="1" s="1"/>
  <c r="D194" i="1" s="1"/>
  <c r="D195" i="1" s="1"/>
  <c r="D196" i="1" s="1"/>
  <c r="D197" i="1" s="1"/>
  <c r="D198" i="1" s="1"/>
  <c r="D199" i="1" s="1"/>
  <c r="D200" i="1" s="1"/>
  <c r="D201" i="1" s="1"/>
  <c r="D202" i="1" s="1"/>
  <c r="D203" i="1" s="1"/>
  <c r="D204" i="1" s="1"/>
  <c r="D205" i="1" s="1"/>
  <c r="D206" i="1" s="1"/>
  <c r="D207" i="1" s="1"/>
  <c r="D208" i="1" s="1"/>
  <c r="D209" i="1" s="1"/>
  <c r="D210" i="1" s="1"/>
  <c r="D211" i="1" s="1"/>
  <c r="D212" i="1" s="1"/>
  <c r="D213" i="1" s="1"/>
  <c r="D214" i="1" s="1"/>
  <c r="D215" i="1" s="1"/>
  <c r="D216" i="1" s="1"/>
  <c r="D217" i="1" s="1"/>
  <c r="D218" i="1" s="1"/>
  <c r="D219" i="1" s="1"/>
  <c r="D220" i="1" s="1"/>
  <c r="D221" i="1" s="1"/>
  <c r="D222" i="1" s="1"/>
  <c r="D223" i="1" s="1"/>
  <c r="D224" i="1" s="1"/>
  <c r="D225" i="1" s="1"/>
  <c r="D226" i="1" s="1"/>
  <c r="D227" i="1" s="1"/>
  <c r="D228" i="1" s="1"/>
  <c r="D229" i="1" s="1"/>
  <c r="D230" i="1" s="1"/>
  <c r="D231" i="1" s="1"/>
  <c r="D232" i="1" s="1"/>
  <c r="D233" i="1" s="1"/>
  <c r="D234" i="1" s="1"/>
  <c r="D235" i="1" s="1"/>
  <c r="D236" i="1" s="1"/>
  <c r="D237" i="1" s="1"/>
  <c r="D238" i="1" s="1"/>
  <c r="D239" i="1" s="1"/>
  <c r="D240" i="1" s="1"/>
  <c r="D241" i="1" s="1"/>
  <c r="D242" i="1" s="1"/>
  <c r="H2" i="1"/>
  <c r="B4" i="1"/>
  <c r="B5" i="1" s="1"/>
  <c r="F3" i="1" l="1"/>
  <c r="E3" i="1" l="1"/>
  <c r="G3" i="1" l="1"/>
  <c r="H3" i="1"/>
  <c r="F4" i="1" l="1"/>
  <c r="E4" i="1" l="1"/>
  <c r="G4" i="1" l="1"/>
  <c r="H4" i="1"/>
  <c r="F5" i="1" l="1"/>
  <c r="E5" i="1" l="1"/>
  <c r="G5" i="1" l="1"/>
  <c r="H5" i="1"/>
  <c r="F6" i="1" l="1"/>
  <c r="E6" i="1" l="1"/>
  <c r="G6" i="1" l="1"/>
  <c r="H6" i="1"/>
  <c r="F7" i="1" l="1"/>
  <c r="E7" i="1" s="1"/>
  <c r="G7" i="1" s="1"/>
  <c r="H7" i="1" l="1"/>
  <c r="F8" i="1" s="1"/>
  <c r="E8" i="1" s="1"/>
  <c r="G8" i="1" l="1"/>
  <c r="H8" i="1"/>
  <c r="F9" i="1" l="1"/>
  <c r="E9" i="1" s="1"/>
  <c r="G9" i="1" s="1"/>
  <c r="H9" i="1" l="1"/>
  <c r="F10" i="1" l="1"/>
  <c r="E10" i="1" s="1"/>
  <c r="G10" i="1" s="1"/>
  <c r="H10" i="1" l="1"/>
  <c r="F11" i="1" l="1"/>
  <c r="E11" i="1" s="1"/>
  <c r="G11" i="1" s="1"/>
  <c r="H11" i="1" l="1"/>
  <c r="F12" i="1" l="1"/>
  <c r="E12" i="1" s="1"/>
  <c r="G12" i="1" s="1"/>
  <c r="H12" i="1" l="1"/>
  <c r="F13" i="1" l="1"/>
  <c r="E13" i="1" s="1"/>
  <c r="G13" i="1" s="1"/>
  <c r="H13" i="1" l="1"/>
  <c r="F14" i="1" l="1"/>
  <c r="E14" i="1" s="1"/>
  <c r="G14" i="1" s="1"/>
  <c r="H14" i="1" l="1"/>
  <c r="F15" i="1" l="1"/>
  <c r="E15" i="1" s="1"/>
  <c r="G15" i="1" s="1"/>
  <c r="H15" i="1" l="1"/>
  <c r="F16" i="1" l="1"/>
  <c r="E16" i="1" s="1"/>
  <c r="G16" i="1" s="1"/>
  <c r="H16" i="1" l="1"/>
  <c r="F17" i="1" s="1"/>
  <c r="E17" i="1" s="1"/>
  <c r="G17" i="1" s="1"/>
  <c r="H17" i="1" l="1"/>
  <c r="F18" i="1" l="1"/>
  <c r="E18" i="1" s="1"/>
  <c r="G18" i="1" s="1"/>
  <c r="H18" i="1" l="1"/>
  <c r="F19" i="1" s="1"/>
  <c r="E19" i="1" s="1"/>
  <c r="G19" i="1" s="1"/>
  <c r="H19" i="1" l="1"/>
  <c r="F20" i="1" l="1"/>
  <c r="E20" i="1" s="1"/>
  <c r="G20" i="1" s="1"/>
  <c r="H20" i="1" l="1"/>
  <c r="F21" i="1"/>
  <c r="E21" i="1" s="1"/>
  <c r="G21" i="1" s="1"/>
  <c r="H21" i="1" l="1"/>
  <c r="F22" i="1" l="1"/>
  <c r="E22" i="1" s="1"/>
  <c r="G22" i="1" s="1"/>
  <c r="H22" i="1" l="1"/>
  <c r="F23" i="1" l="1"/>
  <c r="E23" i="1" s="1"/>
  <c r="G23" i="1" s="1"/>
  <c r="H23" i="1" l="1"/>
  <c r="F24" i="1" l="1"/>
  <c r="E24" i="1" s="1"/>
  <c r="G24" i="1" s="1"/>
  <c r="H24" i="1" l="1"/>
  <c r="F25" i="1" s="1"/>
  <c r="E25" i="1" s="1"/>
  <c r="G25" i="1" s="1"/>
  <c r="H25" i="1" l="1"/>
  <c r="F26" i="1" l="1"/>
  <c r="E26" i="1" s="1"/>
  <c r="G26" i="1" s="1"/>
  <c r="H26" i="1" l="1"/>
  <c r="F27" i="1" l="1"/>
  <c r="E27" i="1" s="1"/>
  <c r="G27" i="1" s="1"/>
  <c r="H27" i="1" l="1"/>
  <c r="F28" i="1"/>
  <c r="E28" i="1" s="1"/>
  <c r="G28" i="1" s="1"/>
  <c r="H28" i="1" l="1"/>
  <c r="F29" i="1"/>
  <c r="E29" i="1" s="1"/>
  <c r="G29" i="1" s="1"/>
  <c r="H29" i="1" l="1"/>
  <c r="F30" i="1" l="1"/>
  <c r="E30" i="1" s="1"/>
  <c r="G30" i="1" s="1"/>
  <c r="H30" i="1" l="1"/>
  <c r="F31" i="1"/>
  <c r="E31" i="1" s="1"/>
  <c r="G31" i="1" s="1"/>
  <c r="H31" i="1" l="1"/>
  <c r="F32" i="1" l="1"/>
  <c r="E32" i="1" s="1"/>
  <c r="G32" i="1" s="1"/>
  <c r="H32" i="1" l="1"/>
  <c r="F33" i="1" l="1"/>
  <c r="E33" i="1" s="1"/>
  <c r="G33" i="1" s="1"/>
  <c r="H33" i="1" l="1"/>
  <c r="F34" i="1" l="1"/>
  <c r="E34" i="1" s="1"/>
  <c r="G34" i="1" s="1"/>
  <c r="H34" i="1" l="1"/>
  <c r="F35" i="1" l="1"/>
  <c r="E35" i="1" s="1"/>
  <c r="G35" i="1" s="1"/>
  <c r="H35" i="1" l="1"/>
  <c r="F36" i="1" s="1"/>
  <c r="E36" i="1" s="1"/>
  <c r="G36" i="1" s="1"/>
  <c r="H36" i="1" l="1"/>
  <c r="F37" i="1" l="1"/>
  <c r="E37" i="1" s="1"/>
  <c r="G37" i="1" s="1"/>
  <c r="H37" i="1" l="1"/>
  <c r="F38" i="1" s="1"/>
  <c r="E38" i="1" s="1"/>
  <c r="G38" i="1" s="1"/>
  <c r="H38" i="1" l="1"/>
  <c r="F39" i="1"/>
  <c r="E39" i="1" s="1"/>
  <c r="G39" i="1" s="1"/>
  <c r="H39" i="1" l="1"/>
  <c r="F40" i="1" l="1"/>
  <c r="E40" i="1" s="1"/>
  <c r="G40" i="1" s="1"/>
  <c r="H40" i="1" l="1"/>
  <c r="F41" i="1" l="1"/>
  <c r="E41" i="1" s="1"/>
  <c r="G41" i="1" s="1"/>
  <c r="H41" i="1" l="1"/>
  <c r="F42" i="1" l="1"/>
  <c r="E42" i="1" s="1"/>
  <c r="G42" i="1" s="1"/>
  <c r="H42" i="1" l="1"/>
  <c r="F43" i="1"/>
  <c r="E43" i="1" s="1"/>
  <c r="G43" i="1" s="1"/>
  <c r="H43" i="1" l="1"/>
  <c r="F44" i="1" s="1"/>
  <c r="E44" i="1" s="1"/>
  <c r="G44" i="1" s="1"/>
  <c r="H44" i="1" l="1"/>
  <c r="F45" i="1" l="1"/>
  <c r="E45" i="1" s="1"/>
  <c r="G45" i="1" s="1"/>
  <c r="H45" i="1" l="1"/>
  <c r="F46" i="1" l="1"/>
  <c r="E46" i="1" s="1"/>
  <c r="G46" i="1" s="1"/>
  <c r="H46" i="1" l="1"/>
  <c r="F47" i="1" s="1"/>
  <c r="E47" i="1" s="1"/>
  <c r="G47" i="1" s="1"/>
  <c r="H47" i="1" l="1"/>
  <c r="F48" i="1" l="1"/>
  <c r="E48" i="1" s="1"/>
  <c r="G48" i="1" s="1"/>
  <c r="H48" i="1" l="1"/>
  <c r="F49" i="1"/>
  <c r="E49" i="1" s="1"/>
  <c r="G49" i="1" s="1"/>
  <c r="H49" i="1" l="1"/>
  <c r="F50" i="1" l="1"/>
  <c r="E50" i="1" s="1"/>
  <c r="G50" i="1" s="1"/>
  <c r="H50" i="1" l="1"/>
  <c r="F51" i="1" l="1"/>
  <c r="E51" i="1" s="1"/>
  <c r="G51" i="1" s="1"/>
  <c r="H51" i="1" l="1"/>
  <c r="F52" i="1" l="1"/>
  <c r="E52" i="1" s="1"/>
  <c r="G52" i="1" s="1"/>
  <c r="H52" i="1" l="1"/>
  <c r="F53" i="1" l="1"/>
  <c r="E53" i="1" s="1"/>
  <c r="G53" i="1" s="1"/>
  <c r="H53" i="1" l="1"/>
  <c r="F54" i="1" l="1"/>
  <c r="E54" i="1" s="1"/>
  <c r="G54" i="1" s="1"/>
  <c r="H54" i="1" l="1"/>
  <c r="F55" i="1" l="1"/>
  <c r="E55" i="1" s="1"/>
  <c r="G55" i="1" s="1"/>
  <c r="H55" i="1" l="1"/>
  <c r="F56" i="1"/>
  <c r="E56" i="1" s="1"/>
  <c r="G56" i="1" s="1"/>
  <c r="H56" i="1" l="1"/>
  <c r="F57" i="1" s="1"/>
  <c r="E57" i="1" s="1"/>
  <c r="G57" i="1" s="1"/>
  <c r="H57" i="1" l="1"/>
  <c r="F58" i="1"/>
  <c r="E58" i="1" s="1"/>
  <c r="G58" i="1" s="1"/>
  <c r="H58" i="1" l="1"/>
  <c r="F59" i="1" l="1"/>
  <c r="E59" i="1" s="1"/>
  <c r="G59" i="1" s="1"/>
  <c r="H59" i="1" l="1"/>
  <c r="F60" i="1" l="1"/>
  <c r="E60" i="1" s="1"/>
  <c r="G60" i="1" s="1"/>
  <c r="H60" i="1" l="1"/>
  <c r="F61" i="1" l="1"/>
  <c r="E61" i="1" s="1"/>
  <c r="G61" i="1" s="1"/>
  <c r="H61" i="1" l="1"/>
  <c r="F62" i="1" l="1"/>
  <c r="E62" i="1" s="1"/>
  <c r="G62" i="1" s="1"/>
  <c r="H62" i="1" l="1"/>
  <c r="F63" i="1" l="1"/>
  <c r="E63" i="1" s="1"/>
  <c r="G63" i="1" s="1"/>
  <c r="H63" i="1" l="1"/>
  <c r="F64" i="1" l="1"/>
  <c r="E64" i="1" s="1"/>
  <c r="G64" i="1" s="1"/>
  <c r="H64" i="1" l="1"/>
  <c r="F65" i="1" l="1"/>
  <c r="E65" i="1" s="1"/>
  <c r="G65" i="1" s="1"/>
  <c r="H65" i="1" l="1"/>
  <c r="F66" i="1" l="1"/>
  <c r="E66" i="1" s="1"/>
  <c r="G66" i="1" s="1"/>
  <c r="H66" i="1" l="1"/>
  <c r="F67" i="1"/>
  <c r="E67" i="1" s="1"/>
  <c r="G67" i="1" s="1"/>
  <c r="H67" i="1" l="1"/>
  <c r="F68" i="1"/>
  <c r="E68" i="1" s="1"/>
  <c r="G68" i="1" s="1"/>
  <c r="H68" i="1" l="1"/>
  <c r="F69" i="1" l="1"/>
  <c r="E69" i="1" s="1"/>
  <c r="G69" i="1" s="1"/>
  <c r="H69" i="1" l="1"/>
  <c r="F70" i="1" l="1"/>
  <c r="E70" i="1" s="1"/>
  <c r="G70" i="1" s="1"/>
  <c r="H70" i="1" l="1"/>
  <c r="F71" i="1" l="1"/>
  <c r="E71" i="1" s="1"/>
  <c r="G71" i="1" s="1"/>
  <c r="H71" i="1" l="1"/>
  <c r="F72" i="1" l="1"/>
  <c r="E72" i="1" s="1"/>
  <c r="G72" i="1" s="1"/>
  <c r="H72" i="1" l="1"/>
  <c r="F73" i="1"/>
  <c r="E73" i="1" s="1"/>
  <c r="G73" i="1" s="1"/>
  <c r="H73" i="1" l="1"/>
  <c r="F74" i="1" l="1"/>
  <c r="E74" i="1" s="1"/>
  <c r="G74" i="1" s="1"/>
  <c r="H74" i="1" l="1"/>
  <c r="F75" i="1" l="1"/>
  <c r="E75" i="1" s="1"/>
  <c r="G75" i="1" s="1"/>
  <c r="H75" i="1" l="1"/>
  <c r="F76" i="1" l="1"/>
  <c r="E76" i="1" s="1"/>
  <c r="G76" i="1" s="1"/>
  <c r="H76" i="1" l="1"/>
  <c r="F77" i="1"/>
  <c r="E77" i="1" s="1"/>
  <c r="G77" i="1" s="1"/>
  <c r="H77" i="1" l="1"/>
  <c r="F78" i="1" l="1"/>
  <c r="E78" i="1" s="1"/>
  <c r="G78" i="1" s="1"/>
  <c r="H78" i="1" l="1"/>
  <c r="F79" i="1" l="1"/>
  <c r="E79" i="1" s="1"/>
  <c r="G79" i="1" s="1"/>
  <c r="H79" i="1" l="1"/>
  <c r="F80" i="1" l="1"/>
  <c r="E80" i="1" s="1"/>
  <c r="G80" i="1" s="1"/>
  <c r="H80" i="1" l="1"/>
  <c r="F81" i="1" l="1"/>
  <c r="E81" i="1" s="1"/>
  <c r="G81" i="1" s="1"/>
  <c r="H81" i="1" l="1"/>
  <c r="F82" i="1" l="1"/>
  <c r="E82" i="1" s="1"/>
  <c r="G82" i="1" s="1"/>
  <c r="H82" i="1" l="1"/>
  <c r="F83" i="1" l="1"/>
  <c r="E83" i="1" s="1"/>
  <c r="G83" i="1" s="1"/>
  <c r="H83" i="1" l="1"/>
  <c r="F84" i="1" l="1"/>
  <c r="E84" i="1" s="1"/>
  <c r="G84" i="1" s="1"/>
  <c r="H84" i="1" l="1"/>
  <c r="F85" i="1"/>
  <c r="E85" i="1" s="1"/>
  <c r="G85" i="1" s="1"/>
  <c r="H85" i="1" l="1"/>
  <c r="F86" i="1" l="1"/>
  <c r="E86" i="1" s="1"/>
  <c r="G86" i="1" s="1"/>
  <c r="H86" i="1" l="1"/>
  <c r="F87" i="1" l="1"/>
  <c r="E87" i="1" s="1"/>
  <c r="G87" i="1" s="1"/>
  <c r="H87" i="1" l="1"/>
  <c r="F88" i="1" l="1"/>
  <c r="E88" i="1" s="1"/>
  <c r="G88" i="1" s="1"/>
  <c r="H88" i="1" l="1"/>
  <c r="F89" i="1" l="1"/>
  <c r="E89" i="1" s="1"/>
  <c r="G89" i="1" s="1"/>
  <c r="H89" i="1" l="1"/>
  <c r="F90" i="1" l="1"/>
  <c r="E90" i="1" s="1"/>
  <c r="G90" i="1" s="1"/>
  <c r="H90" i="1" l="1"/>
  <c r="F91" i="1" l="1"/>
  <c r="E91" i="1" s="1"/>
  <c r="G91" i="1" s="1"/>
  <c r="H91" i="1" l="1"/>
  <c r="F92" i="1" l="1"/>
  <c r="E92" i="1" s="1"/>
  <c r="G92" i="1" s="1"/>
  <c r="H92" i="1" l="1"/>
  <c r="F93" i="1" s="1"/>
  <c r="E93" i="1" s="1"/>
  <c r="G93" i="1" s="1"/>
  <c r="H93" i="1" l="1"/>
  <c r="F94" i="1" l="1"/>
  <c r="E94" i="1" s="1"/>
  <c r="G94" i="1" s="1"/>
  <c r="H94" i="1" l="1"/>
  <c r="F95" i="1" l="1"/>
  <c r="E95" i="1" s="1"/>
  <c r="G95" i="1" s="1"/>
  <c r="H95" i="1" l="1"/>
  <c r="F96" i="1" l="1"/>
  <c r="E96" i="1" s="1"/>
  <c r="G96" i="1" s="1"/>
  <c r="H96" i="1" l="1"/>
  <c r="F97" i="1" l="1"/>
  <c r="E97" i="1" s="1"/>
  <c r="G97" i="1" s="1"/>
  <c r="H97" i="1" l="1"/>
  <c r="F98" i="1" l="1"/>
  <c r="E98" i="1" s="1"/>
  <c r="G98" i="1" s="1"/>
  <c r="H98" i="1" l="1"/>
  <c r="F99" i="1" l="1"/>
  <c r="E99" i="1" s="1"/>
  <c r="G99" i="1" s="1"/>
  <c r="H99" i="1" l="1"/>
  <c r="F100" i="1" l="1"/>
  <c r="E100" i="1" s="1"/>
  <c r="G100" i="1" s="1"/>
  <c r="H100" i="1" l="1"/>
  <c r="F101" i="1" l="1"/>
  <c r="E101" i="1" s="1"/>
  <c r="G101" i="1" s="1"/>
  <c r="H101" i="1" l="1"/>
  <c r="F102" i="1" l="1"/>
  <c r="E102" i="1" s="1"/>
  <c r="G102" i="1" s="1"/>
  <c r="H102" i="1" l="1"/>
  <c r="F103" i="1" l="1"/>
  <c r="E103" i="1" s="1"/>
  <c r="G103" i="1" s="1"/>
  <c r="H103" i="1" l="1"/>
  <c r="F104" i="1" l="1"/>
  <c r="E104" i="1" s="1"/>
  <c r="G104" i="1" s="1"/>
  <c r="H104" i="1" l="1"/>
  <c r="F105" i="1" l="1"/>
  <c r="E105" i="1" s="1"/>
  <c r="G105" i="1" s="1"/>
  <c r="H105" i="1" l="1"/>
  <c r="F106" i="1" l="1"/>
  <c r="E106" i="1" s="1"/>
  <c r="G106" i="1" s="1"/>
  <c r="H106" i="1" l="1"/>
  <c r="F107" i="1" l="1"/>
  <c r="E107" i="1" s="1"/>
  <c r="G107" i="1" s="1"/>
  <c r="H107" i="1" l="1"/>
  <c r="F108" i="1" l="1"/>
  <c r="E108" i="1" s="1"/>
  <c r="G108" i="1" s="1"/>
  <c r="H108" i="1" l="1"/>
  <c r="F109" i="1" l="1"/>
  <c r="E109" i="1" s="1"/>
  <c r="G109" i="1" s="1"/>
  <c r="H109" i="1" l="1"/>
  <c r="F110" i="1" l="1"/>
  <c r="E110" i="1" s="1"/>
  <c r="G110" i="1" s="1"/>
  <c r="H110" i="1" l="1"/>
  <c r="F111" i="1" l="1"/>
  <c r="E111" i="1" s="1"/>
  <c r="G111" i="1" s="1"/>
  <c r="H111" i="1" l="1"/>
  <c r="F112" i="1" l="1"/>
  <c r="E112" i="1" s="1"/>
  <c r="G112" i="1" s="1"/>
  <c r="H112" i="1" l="1"/>
  <c r="F113" i="1" l="1"/>
  <c r="E113" i="1" s="1"/>
  <c r="G113" i="1" s="1"/>
  <c r="H113" i="1" l="1"/>
  <c r="F114" i="1" l="1"/>
  <c r="E114" i="1" s="1"/>
  <c r="G114" i="1" s="1"/>
  <c r="H114" i="1" l="1"/>
  <c r="F115" i="1" l="1"/>
  <c r="E115" i="1" s="1"/>
  <c r="G115" i="1" s="1"/>
  <c r="H115" i="1" l="1"/>
  <c r="F116" i="1" s="1"/>
  <c r="E116" i="1" s="1"/>
  <c r="G116" i="1" s="1"/>
  <c r="H116" i="1" l="1"/>
  <c r="F117" i="1"/>
  <c r="E117" i="1" s="1"/>
  <c r="G117" i="1" s="1"/>
  <c r="H117" i="1" l="1"/>
  <c r="F118" i="1" s="1"/>
  <c r="E118" i="1" s="1"/>
  <c r="G118" i="1" s="1"/>
  <c r="H118" i="1" l="1"/>
  <c r="F119" i="1" l="1"/>
  <c r="E119" i="1" s="1"/>
  <c r="G119" i="1" s="1"/>
  <c r="H119" i="1" l="1"/>
  <c r="F120" i="1" l="1"/>
  <c r="E120" i="1" s="1"/>
  <c r="G120" i="1" s="1"/>
  <c r="H120" i="1" l="1"/>
  <c r="F121" i="1"/>
  <c r="E121" i="1" s="1"/>
  <c r="G121" i="1" s="1"/>
  <c r="H121" i="1" l="1"/>
  <c r="F122" i="1" l="1"/>
  <c r="E122" i="1" s="1"/>
  <c r="G122" i="1" s="1"/>
  <c r="H122" i="1" l="1"/>
  <c r="F123" i="1" l="1"/>
  <c r="E123" i="1" s="1"/>
  <c r="G123" i="1" s="1"/>
  <c r="H123" i="1" l="1"/>
  <c r="F124" i="1"/>
  <c r="E124" i="1" s="1"/>
  <c r="G124" i="1" s="1"/>
  <c r="H124" i="1" l="1"/>
  <c r="F125" i="1"/>
  <c r="E125" i="1" s="1"/>
  <c r="G125" i="1" s="1"/>
  <c r="H125" i="1" l="1"/>
  <c r="F126" i="1" s="1"/>
  <c r="E126" i="1" s="1"/>
  <c r="G126" i="1" s="1"/>
  <c r="H126" i="1" l="1"/>
  <c r="F127" i="1"/>
  <c r="E127" i="1" s="1"/>
  <c r="G127" i="1" s="1"/>
  <c r="H127" i="1" l="1"/>
  <c r="F128" i="1"/>
  <c r="E128" i="1" s="1"/>
  <c r="G128" i="1" s="1"/>
  <c r="H128" i="1" l="1"/>
  <c r="F129" i="1"/>
  <c r="E129" i="1" s="1"/>
  <c r="G129" i="1" s="1"/>
  <c r="H129" i="1" l="1"/>
  <c r="F130" i="1"/>
  <c r="E130" i="1" s="1"/>
  <c r="G130" i="1" s="1"/>
  <c r="H130" i="1" l="1"/>
  <c r="F131" i="1" l="1"/>
  <c r="E131" i="1" s="1"/>
  <c r="G131" i="1" s="1"/>
  <c r="H131" i="1" l="1"/>
  <c r="F132" i="1" s="1"/>
  <c r="E132" i="1" s="1"/>
  <c r="G132" i="1" s="1"/>
  <c r="H132" i="1" l="1"/>
  <c r="F133" i="1"/>
  <c r="E133" i="1" s="1"/>
  <c r="G133" i="1" s="1"/>
  <c r="H133" i="1" l="1"/>
  <c r="F134" i="1"/>
  <c r="E134" i="1" s="1"/>
  <c r="G134" i="1" s="1"/>
  <c r="H134" i="1" l="1"/>
  <c r="F135" i="1" l="1"/>
  <c r="E135" i="1" s="1"/>
  <c r="G135" i="1" s="1"/>
  <c r="H135" i="1" l="1"/>
  <c r="F136" i="1"/>
  <c r="E136" i="1" s="1"/>
  <c r="G136" i="1" s="1"/>
  <c r="H136" i="1" l="1"/>
  <c r="F137" i="1"/>
  <c r="E137" i="1" s="1"/>
  <c r="G137" i="1" s="1"/>
  <c r="H137" i="1" l="1"/>
  <c r="F138" i="1"/>
  <c r="E138" i="1" s="1"/>
  <c r="G138" i="1" s="1"/>
  <c r="H138" i="1" l="1"/>
  <c r="F139" i="1"/>
  <c r="E139" i="1" s="1"/>
  <c r="G139" i="1" s="1"/>
  <c r="H139" i="1" l="1"/>
  <c r="F140" i="1"/>
  <c r="E140" i="1" s="1"/>
  <c r="G140" i="1" s="1"/>
  <c r="H140" i="1" l="1"/>
  <c r="F141" i="1"/>
  <c r="E141" i="1" s="1"/>
  <c r="G141" i="1" s="1"/>
  <c r="H141" i="1" l="1"/>
  <c r="F142" i="1"/>
  <c r="E142" i="1" s="1"/>
  <c r="G142" i="1" s="1"/>
  <c r="H142" i="1" l="1"/>
  <c r="F143" i="1" l="1"/>
  <c r="E143" i="1" s="1"/>
  <c r="G143" i="1" s="1"/>
  <c r="H143" i="1" l="1"/>
  <c r="F144" i="1"/>
  <c r="E144" i="1" s="1"/>
  <c r="G144" i="1" s="1"/>
  <c r="H144" i="1" l="1"/>
  <c r="F145" i="1" l="1"/>
  <c r="E145" i="1" s="1"/>
  <c r="G145" i="1" s="1"/>
  <c r="H145" i="1" l="1"/>
  <c r="F146" i="1"/>
  <c r="E146" i="1" s="1"/>
  <c r="G146" i="1" s="1"/>
  <c r="H146" i="1" l="1"/>
  <c r="F147" i="1" s="1"/>
  <c r="E147" i="1" s="1"/>
  <c r="G147" i="1" s="1"/>
  <c r="H147" i="1" l="1"/>
  <c r="F148" i="1" s="1"/>
  <c r="E148" i="1" s="1"/>
  <c r="G148" i="1" s="1"/>
  <c r="H148" i="1" l="1"/>
  <c r="F149" i="1" l="1"/>
  <c r="E149" i="1" s="1"/>
  <c r="G149" i="1" s="1"/>
  <c r="H149" i="1" l="1"/>
  <c r="F150" i="1"/>
  <c r="E150" i="1" s="1"/>
  <c r="G150" i="1" s="1"/>
  <c r="H150" i="1" l="1"/>
  <c r="F151" i="1"/>
  <c r="E151" i="1" s="1"/>
  <c r="G151" i="1" s="1"/>
  <c r="H151" i="1" l="1"/>
  <c r="F152" i="1"/>
  <c r="E152" i="1" s="1"/>
  <c r="G152" i="1" s="1"/>
  <c r="H152" i="1" l="1"/>
  <c r="F153" i="1" l="1"/>
  <c r="E153" i="1" s="1"/>
  <c r="G153" i="1" s="1"/>
  <c r="H153" i="1" l="1"/>
  <c r="F154" i="1" l="1"/>
  <c r="E154" i="1" s="1"/>
  <c r="G154" i="1" s="1"/>
  <c r="H154" i="1" l="1"/>
  <c r="F155" i="1" s="1"/>
  <c r="E155" i="1" s="1"/>
  <c r="G155" i="1" s="1"/>
  <c r="H155" i="1" l="1"/>
  <c r="F156" i="1" s="1"/>
  <c r="E156" i="1" s="1"/>
  <c r="G156" i="1" s="1"/>
  <c r="H156" i="1" l="1"/>
  <c r="F157" i="1" l="1"/>
  <c r="E157" i="1" s="1"/>
  <c r="G157" i="1" s="1"/>
  <c r="H157" i="1" l="1"/>
  <c r="F158" i="1" s="1"/>
  <c r="E158" i="1" s="1"/>
  <c r="G158" i="1" l="1"/>
  <c r="H158" i="1"/>
  <c r="F159" i="1" l="1"/>
  <c r="E159" i="1" l="1"/>
  <c r="G159" i="1" l="1"/>
  <c r="H159" i="1"/>
  <c r="F160" i="1" l="1"/>
  <c r="E160" i="1" l="1"/>
  <c r="G160" i="1" l="1"/>
  <c r="H160" i="1"/>
  <c r="F161" i="1" l="1"/>
  <c r="E161" i="1" l="1"/>
  <c r="G161" i="1" l="1"/>
  <c r="H161" i="1"/>
  <c r="F162" i="1" l="1"/>
  <c r="E162" i="1" l="1"/>
  <c r="G162" i="1" l="1"/>
  <c r="H162" i="1"/>
  <c r="F163" i="1" l="1"/>
  <c r="E163" i="1" s="1"/>
  <c r="G163" i="1" s="1"/>
  <c r="H163" i="1" l="1"/>
  <c r="F164" i="1" s="1"/>
  <c r="E164" i="1" s="1"/>
  <c r="G164" i="1" s="1"/>
  <c r="H164" i="1" l="1"/>
  <c r="F165" i="1" l="1"/>
  <c r="E165" i="1" s="1"/>
  <c r="G165" i="1" s="1"/>
  <c r="H165" i="1" l="1"/>
  <c r="F166" i="1"/>
  <c r="E166" i="1" s="1"/>
  <c r="G166" i="1" s="1"/>
  <c r="H166" i="1" l="1"/>
  <c r="F167" i="1" l="1"/>
  <c r="E167" i="1" s="1"/>
  <c r="G167" i="1" s="1"/>
  <c r="H167" i="1" l="1"/>
  <c r="F168" i="1"/>
  <c r="E168" i="1" s="1"/>
  <c r="G168" i="1" s="1"/>
  <c r="H168" i="1" l="1"/>
  <c r="F169" i="1" l="1"/>
  <c r="E169" i="1" s="1"/>
  <c r="G169" i="1" s="1"/>
  <c r="H169" i="1" l="1"/>
  <c r="F170" i="1"/>
  <c r="E170" i="1" s="1"/>
  <c r="G170" i="1" s="1"/>
  <c r="H170" i="1" l="1"/>
  <c r="F171" i="1" l="1"/>
  <c r="E171" i="1" s="1"/>
  <c r="G171" i="1" s="1"/>
  <c r="H171" i="1" l="1"/>
  <c r="F172" i="1"/>
  <c r="E172" i="1" s="1"/>
  <c r="G172" i="1" s="1"/>
  <c r="H172" i="1" l="1"/>
  <c r="F173" i="1" l="1"/>
  <c r="E173" i="1" s="1"/>
  <c r="G173" i="1" s="1"/>
  <c r="H173" i="1" l="1"/>
  <c r="F174" i="1"/>
  <c r="E174" i="1" s="1"/>
  <c r="G174" i="1" s="1"/>
  <c r="H174" i="1" l="1"/>
  <c r="F175" i="1" l="1"/>
  <c r="E175" i="1" s="1"/>
  <c r="G175" i="1" s="1"/>
  <c r="H175" i="1" l="1"/>
  <c r="F176" i="1"/>
  <c r="E176" i="1" s="1"/>
  <c r="G176" i="1" s="1"/>
  <c r="H176" i="1" l="1"/>
  <c r="F177" i="1"/>
  <c r="E177" i="1" s="1"/>
  <c r="G177" i="1" s="1"/>
  <c r="H177" i="1" l="1"/>
  <c r="F178" i="1"/>
  <c r="E178" i="1" s="1"/>
  <c r="G178" i="1" s="1"/>
  <c r="H178" i="1" l="1"/>
  <c r="F179" i="1" l="1"/>
  <c r="E179" i="1" s="1"/>
  <c r="G179" i="1" s="1"/>
  <c r="H179" i="1" l="1"/>
  <c r="F180" i="1"/>
  <c r="E180" i="1" s="1"/>
  <c r="G180" i="1" s="1"/>
  <c r="H180" i="1" l="1"/>
  <c r="F181" i="1" l="1"/>
  <c r="E181" i="1" s="1"/>
  <c r="G181" i="1" s="1"/>
  <c r="H181" i="1" l="1"/>
  <c r="F182" i="1"/>
  <c r="E182" i="1" s="1"/>
  <c r="G182" i="1" s="1"/>
  <c r="H182" i="1" l="1"/>
  <c r="F183" i="1" l="1"/>
  <c r="E183" i="1" s="1"/>
  <c r="G183" i="1" s="1"/>
  <c r="H183" i="1" l="1"/>
  <c r="F184" i="1"/>
  <c r="E184" i="1" s="1"/>
  <c r="G184" i="1" s="1"/>
  <c r="H184" i="1" l="1"/>
  <c r="F185" i="1" l="1"/>
  <c r="E185" i="1" s="1"/>
  <c r="G185" i="1" s="1"/>
  <c r="H185" i="1" l="1"/>
  <c r="F186" i="1"/>
  <c r="E186" i="1" s="1"/>
  <c r="G186" i="1" s="1"/>
  <c r="H186" i="1" l="1"/>
  <c r="F187" i="1" l="1"/>
  <c r="E187" i="1" s="1"/>
  <c r="G187" i="1" s="1"/>
  <c r="H187" i="1" l="1"/>
  <c r="F188" i="1"/>
  <c r="E188" i="1" s="1"/>
  <c r="G188" i="1" s="1"/>
  <c r="H188" i="1" l="1"/>
  <c r="F189" i="1" l="1"/>
  <c r="E189" i="1" s="1"/>
  <c r="G189" i="1" s="1"/>
  <c r="H189" i="1" l="1"/>
  <c r="F190" i="1"/>
  <c r="E190" i="1" s="1"/>
  <c r="G190" i="1" s="1"/>
  <c r="H190" i="1" l="1"/>
  <c r="F191" i="1" l="1"/>
  <c r="E191" i="1" s="1"/>
  <c r="G191" i="1" s="1"/>
  <c r="H191" i="1" l="1"/>
  <c r="F192" i="1"/>
  <c r="E192" i="1" s="1"/>
  <c r="G192" i="1" s="1"/>
  <c r="H192" i="1" l="1"/>
  <c r="F193" i="1" l="1"/>
  <c r="E193" i="1" s="1"/>
  <c r="G193" i="1" s="1"/>
  <c r="H193" i="1" l="1"/>
  <c r="F194" i="1" s="1"/>
  <c r="E194" i="1" s="1"/>
  <c r="G194" i="1" s="1"/>
  <c r="H194" i="1" l="1"/>
  <c r="F195" i="1" s="1"/>
  <c r="E195" i="1" s="1"/>
  <c r="G195" i="1" s="1"/>
  <c r="H195" i="1" l="1"/>
  <c r="F196" i="1" s="1"/>
  <c r="E196" i="1" s="1"/>
  <c r="G196" i="1" s="1"/>
  <c r="H196" i="1" l="1"/>
  <c r="F197" i="1" l="1"/>
  <c r="E197" i="1" s="1"/>
  <c r="G197" i="1" s="1"/>
  <c r="H197" i="1" l="1"/>
  <c r="F198" i="1"/>
  <c r="E198" i="1" s="1"/>
  <c r="G198" i="1" s="1"/>
  <c r="H198" i="1" l="1"/>
  <c r="F199" i="1" l="1"/>
  <c r="E199" i="1" s="1"/>
  <c r="G199" i="1" s="1"/>
  <c r="H199" i="1" l="1"/>
  <c r="F200" i="1" s="1"/>
  <c r="E200" i="1" s="1"/>
  <c r="G200" i="1" s="1"/>
  <c r="H200" i="1" l="1"/>
  <c r="F201" i="1" l="1"/>
  <c r="E201" i="1" s="1"/>
  <c r="G201" i="1" s="1"/>
  <c r="H201" i="1" l="1"/>
  <c r="F202" i="1" s="1"/>
  <c r="E202" i="1" s="1"/>
  <c r="G202" i="1" s="1"/>
  <c r="H202" i="1" l="1"/>
  <c r="F203" i="1" s="1"/>
  <c r="E203" i="1" s="1"/>
  <c r="G203" i="1" s="1"/>
  <c r="H203" i="1" l="1"/>
  <c r="F204" i="1" s="1"/>
  <c r="E204" i="1" s="1"/>
  <c r="G204" i="1" s="1"/>
  <c r="H204" i="1" l="1"/>
  <c r="F205" i="1" l="1"/>
  <c r="E205" i="1" s="1"/>
  <c r="G205" i="1" s="1"/>
  <c r="H205" i="1" l="1"/>
  <c r="F206" i="1" s="1"/>
  <c r="E206" i="1" s="1"/>
  <c r="G206" i="1" s="1"/>
  <c r="H206" i="1" l="1"/>
  <c r="F207" i="1" l="1"/>
  <c r="E207" i="1" s="1"/>
  <c r="G207" i="1" s="1"/>
  <c r="H207" i="1" l="1"/>
  <c r="F208" i="1"/>
  <c r="E208" i="1" s="1"/>
  <c r="G208" i="1" s="1"/>
  <c r="H208" i="1" l="1"/>
  <c r="F209" i="1" l="1"/>
  <c r="E209" i="1" s="1"/>
  <c r="G209" i="1" s="1"/>
  <c r="H209" i="1" l="1"/>
  <c r="F210" i="1"/>
  <c r="E210" i="1" s="1"/>
  <c r="G210" i="1" s="1"/>
  <c r="H210" i="1" l="1"/>
  <c r="F211" i="1"/>
  <c r="E211" i="1" s="1"/>
  <c r="G211" i="1" s="1"/>
  <c r="H211" i="1" l="1"/>
  <c r="F212" i="1"/>
  <c r="E212" i="1" s="1"/>
  <c r="G212" i="1" s="1"/>
  <c r="H212" i="1" l="1"/>
  <c r="F213" i="1"/>
  <c r="E213" i="1" s="1"/>
  <c r="G213" i="1" s="1"/>
  <c r="H213" i="1" l="1"/>
  <c r="F214" i="1"/>
  <c r="E214" i="1" s="1"/>
  <c r="G214" i="1" s="1"/>
  <c r="H214" i="1" l="1"/>
  <c r="F215" i="1"/>
  <c r="E215" i="1" s="1"/>
  <c r="G215" i="1" s="1"/>
  <c r="H215" i="1" l="1"/>
  <c r="F216" i="1"/>
  <c r="E216" i="1" s="1"/>
  <c r="G216" i="1" s="1"/>
  <c r="H216" i="1" l="1"/>
  <c r="F217" i="1" s="1"/>
  <c r="E217" i="1" s="1"/>
  <c r="G217" i="1" s="1"/>
  <c r="H217" i="1" l="1"/>
  <c r="F218" i="1"/>
  <c r="E218" i="1" s="1"/>
  <c r="G218" i="1" s="1"/>
  <c r="H218" i="1" l="1"/>
  <c r="F219" i="1"/>
  <c r="E219" i="1" s="1"/>
  <c r="G219" i="1" s="1"/>
  <c r="H219" i="1" l="1"/>
  <c r="F220" i="1" l="1"/>
  <c r="E220" i="1" s="1"/>
  <c r="G220" i="1" s="1"/>
  <c r="H220" i="1" l="1"/>
  <c r="F221" i="1"/>
  <c r="E221" i="1" s="1"/>
  <c r="G221" i="1" s="1"/>
  <c r="H221" i="1" l="1"/>
  <c r="F222" i="1" s="1"/>
  <c r="E222" i="1" s="1"/>
  <c r="G222" i="1" s="1"/>
  <c r="H222" i="1" l="1"/>
  <c r="F223" i="1"/>
  <c r="E223" i="1" s="1"/>
  <c r="G223" i="1" s="1"/>
  <c r="H223" i="1" l="1"/>
  <c r="F224" i="1" l="1"/>
  <c r="E224" i="1" s="1"/>
  <c r="G224" i="1" s="1"/>
  <c r="H224" i="1" l="1"/>
  <c r="F225" i="1" l="1"/>
  <c r="E225" i="1" s="1"/>
  <c r="G225" i="1" s="1"/>
  <c r="H225" i="1" l="1"/>
  <c r="F226" i="1" s="1"/>
  <c r="E226" i="1" s="1"/>
  <c r="G226" i="1" s="1"/>
  <c r="H226" i="1" l="1"/>
  <c r="F227" i="1" s="1"/>
  <c r="E227" i="1" s="1"/>
  <c r="G227" i="1" s="1"/>
  <c r="H227" i="1" l="1"/>
  <c r="F228" i="1" s="1"/>
  <c r="E228" i="1" s="1"/>
  <c r="G228" i="1" s="1"/>
  <c r="H228" i="1" l="1"/>
  <c r="F229" i="1"/>
  <c r="E229" i="1" s="1"/>
  <c r="G229" i="1" s="1"/>
  <c r="H229" i="1" l="1"/>
  <c r="F230" i="1" s="1"/>
  <c r="E230" i="1" s="1"/>
  <c r="G230" i="1" s="1"/>
  <c r="H230" i="1" l="1"/>
  <c r="F231" i="1"/>
  <c r="E231" i="1" s="1"/>
  <c r="G231" i="1" s="1"/>
  <c r="H231" i="1" l="1"/>
  <c r="F232" i="1" l="1"/>
  <c r="E232" i="1" s="1"/>
  <c r="G232" i="1" s="1"/>
  <c r="H232" i="1" l="1"/>
  <c r="F233" i="1" s="1"/>
  <c r="E233" i="1" s="1"/>
  <c r="G233" i="1" s="1"/>
  <c r="H233" i="1" l="1"/>
  <c r="F234" i="1" l="1"/>
  <c r="E234" i="1" s="1"/>
  <c r="G234" i="1" s="1"/>
  <c r="H234" i="1" l="1"/>
  <c r="F235" i="1" s="1"/>
  <c r="E235" i="1" s="1"/>
  <c r="G235" i="1" s="1"/>
  <c r="H235" i="1" l="1"/>
  <c r="F236" i="1" s="1"/>
  <c r="E236" i="1" s="1"/>
  <c r="G236" i="1" s="1"/>
  <c r="H236" i="1" l="1"/>
  <c r="F237" i="1" s="1"/>
  <c r="E237" i="1" s="1"/>
  <c r="G237" i="1" s="1"/>
  <c r="H237" i="1" l="1"/>
  <c r="F238" i="1" l="1"/>
  <c r="E238" i="1" s="1"/>
  <c r="G238" i="1" s="1"/>
  <c r="H238" i="1" l="1"/>
  <c r="F239" i="1" s="1"/>
  <c r="E239" i="1" s="1"/>
  <c r="G239" i="1" s="1"/>
  <c r="H239" i="1" l="1"/>
  <c r="F240" i="1" l="1"/>
  <c r="E240" i="1" s="1"/>
  <c r="G240" i="1" s="1"/>
  <c r="H240" i="1" l="1"/>
  <c r="F241" i="1" s="1"/>
  <c r="E241" i="1" s="1"/>
  <c r="G241" i="1" s="1"/>
  <c r="H241" i="1" l="1"/>
  <c r="F242" i="1" l="1"/>
  <c r="E242" i="1" l="1"/>
  <c r="B6" i="1"/>
  <c r="G242" i="1" l="1"/>
  <c r="H242" i="1"/>
</calcChain>
</file>

<file path=xl/sharedStrings.xml><?xml version="1.0" encoding="utf-8"?>
<sst xmlns="http://schemas.openxmlformats.org/spreadsheetml/2006/main" count="11" uniqueCount="10">
  <si>
    <t>貸款金額</t>
    <phoneticPr fontId="3" type="noConversion"/>
  </si>
  <si>
    <t>年利率</t>
    <phoneticPr fontId="3" type="noConversion"/>
  </si>
  <si>
    <t>年數</t>
    <phoneticPr fontId="3" type="noConversion"/>
  </si>
  <si>
    <t>期數</t>
    <phoneticPr fontId="3" type="noConversion"/>
  </si>
  <si>
    <t>每月繳款金額</t>
    <phoneticPr fontId="3" type="noConversion"/>
  </si>
  <si>
    <t>利息總額</t>
    <phoneticPr fontId="3" type="noConversion"/>
  </si>
  <si>
    <t>攤還本金</t>
    <phoneticPr fontId="3" type="noConversion"/>
  </si>
  <si>
    <t>攤還利息</t>
    <phoneticPr fontId="3" type="noConversion"/>
  </si>
  <si>
    <t>每月繳款金額</t>
    <phoneticPr fontId="3" type="noConversion"/>
  </si>
  <si>
    <t>貸款餘額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</si>
</sst>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-* #,##0.00_-;\-* #,##0.00_-;_-* &quot;-&quot;??_-;_-@_-"/>
    <numFmt numFmtId="176" formatCode="_(* #,##0.00_);_(* \(#,##0.00\);_(* &quot;-&quot;??_);_(@_)"/>
    <numFmt numFmtId="177" formatCode="_-* #,##0_-;\-* #,##0_-;_-* &quot;-&quot;??_-;_-@_-"/>
    <numFmt numFmtId="178" formatCode="&quot;$&quot;#,##0.0;[Red]\-&quot;$&quot;#,##0.0"/>
  </numFmts>
  <fonts count="12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9"/>
      <name val="新細明體"/>
      <family val="1"/>
      <charset val="136"/>
    </font>
    <font>
      <b/>
      <sz val="12"/>
      <color theme="0"/>
      <name val="新細明體"/>
      <family val="1"/>
      <charset val="136"/>
      <scheme val="minor"/>
    </font>
    <font>
      <b/>
      <sz val="12"/>
      <color indexed="9"/>
      <name val="新細明體"/>
      <family val="1"/>
      <charset val="136"/>
    </font>
    <font>
      <sz val="12"/>
      <color indexed="20"/>
      <name val="新細明體"/>
      <family val="1"/>
      <charset val="136"/>
    </font>
    <font>
      <sz val="12"/>
      <color indexed="17"/>
      <name val="新細明體"/>
      <family val="1"/>
      <charset val="136"/>
    </font>
    <font>
      <sz val="12"/>
      <color indexed="60"/>
      <name val="新細明體"/>
      <family val="1"/>
      <charset val="136"/>
    </font>
    <font>
      <sz val="12"/>
      <color theme="0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</font>
    <font>
      <b/>
      <sz val="20"/>
      <color theme="0"/>
      <name val="新細明體"/>
      <family val="1"/>
      <charset val="136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176" fontId="1" fillId="0" borderId="0" applyFont="0" applyFill="0" applyBorder="0" applyAlignment="0" applyProtection="0">
      <alignment vertical="center"/>
    </xf>
  </cellStyleXfs>
  <cellXfs count="29">
    <xf numFmtId="0" fontId="0" fillId="0" borderId="0" xfId="0">
      <alignment vertical="center"/>
    </xf>
    <xf numFmtId="0" fontId="5" fillId="2" borderId="5" xfId="0" applyFont="1" applyFill="1" applyBorder="1" applyAlignment="1">
      <alignment horizontal="center" vertical="center"/>
    </xf>
    <xf numFmtId="38" fontId="5" fillId="2" borderId="1" xfId="0" applyNumberFormat="1" applyFont="1" applyFill="1" applyBorder="1" applyAlignment="1">
      <alignment horizontal="center" vertical="center"/>
    </xf>
    <xf numFmtId="0" fontId="0" fillId="3" borderId="0" xfId="0" applyFill="1">
      <alignment vertical="center"/>
    </xf>
    <xf numFmtId="0" fontId="9" fillId="3" borderId="0" xfId="0" applyFont="1" applyFill="1" applyBorder="1" applyAlignment="1">
      <alignment horizontal="center" vertical="center"/>
    </xf>
    <xf numFmtId="177" fontId="9" fillId="3" borderId="0" xfId="0" applyNumberFormat="1" applyFont="1" applyFill="1" applyBorder="1">
      <alignment vertical="center"/>
    </xf>
    <xf numFmtId="0" fontId="4" fillId="3" borderId="0" xfId="0" applyFont="1" applyFill="1" applyBorder="1" applyAlignment="1">
      <alignment horizontal="center" vertical="center"/>
    </xf>
    <xf numFmtId="177" fontId="9" fillId="3" borderId="0" xfId="1" applyNumberFormat="1" applyFont="1" applyFill="1" applyBorder="1">
      <alignment vertical="center"/>
    </xf>
    <xf numFmtId="0" fontId="9" fillId="3" borderId="0" xfId="0" applyFont="1" applyFill="1" applyBorder="1">
      <alignment vertical="center"/>
    </xf>
    <xf numFmtId="10" fontId="9" fillId="3" borderId="0" xfId="0" applyNumberFormat="1" applyFont="1" applyFill="1" applyBorder="1">
      <alignment vertical="center"/>
    </xf>
    <xf numFmtId="178" fontId="9" fillId="3" borderId="0" xfId="0" applyNumberFormat="1" applyFont="1" applyFill="1" applyBorder="1">
      <alignment vertical="center"/>
    </xf>
    <xf numFmtId="177" fontId="10" fillId="3" borderId="0" xfId="0" applyNumberFormat="1" applyFont="1" applyFill="1" applyBorder="1">
      <alignment vertical="center"/>
    </xf>
    <xf numFmtId="0" fontId="11" fillId="3" borderId="0" xfId="0" applyFont="1" applyFill="1" applyBorder="1" applyAlignment="1">
      <alignment horizontal="center" vertical="center"/>
    </xf>
    <xf numFmtId="9" fontId="9" fillId="3" borderId="0" xfId="0" applyNumberFormat="1" applyFont="1" applyFill="1" applyBorder="1">
      <alignment vertical="center"/>
    </xf>
    <xf numFmtId="0" fontId="0" fillId="3" borderId="6" xfId="0" applyFill="1" applyBorder="1" applyAlignment="1">
      <alignment horizontal="center" vertical="center"/>
    </xf>
    <xf numFmtId="0" fontId="0" fillId="3" borderId="6" xfId="0" applyFill="1" applyBorder="1">
      <alignment vertical="center"/>
    </xf>
    <xf numFmtId="38" fontId="6" fillId="3" borderId="3" xfId="1" applyNumberFormat="1" applyFont="1" applyFill="1" applyBorder="1">
      <alignment vertical="center"/>
    </xf>
    <xf numFmtId="43" fontId="0" fillId="3" borderId="0" xfId="0" applyNumberFormat="1" applyFill="1">
      <alignment vertical="center"/>
    </xf>
    <xf numFmtId="0" fontId="0" fillId="3" borderId="2" xfId="0" applyFill="1" applyBorder="1" applyAlignment="1">
      <alignment horizontal="center" vertical="center"/>
    </xf>
    <xf numFmtId="177" fontId="7" fillId="3" borderId="6" xfId="1" applyNumberFormat="1" applyFont="1" applyFill="1" applyBorder="1">
      <alignment vertical="center"/>
    </xf>
    <xf numFmtId="177" fontId="8" fillId="3" borderId="6" xfId="1" applyNumberFormat="1" applyFont="1" applyFill="1" applyBorder="1">
      <alignment vertical="center"/>
    </xf>
    <xf numFmtId="177" fontId="0" fillId="3" borderId="6" xfId="1" applyNumberFormat="1" applyFont="1" applyFill="1" applyBorder="1">
      <alignment vertical="center"/>
    </xf>
    <xf numFmtId="0" fontId="0" fillId="3" borderId="0" xfId="0" applyFill="1" applyAlignment="1">
      <alignment horizontal="center" vertical="center"/>
    </xf>
    <xf numFmtId="177" fontId="7" fillId="3" borderId="7" xfId="1" applyNumberFormat="1" applyFont="1" applyFill="1" applyBorder="1">
      <alignment vertical="center"/>
    </xf>
    <xf numFmtId="177" fontId="8" fillId="3" borderId="7" xfId="1" applyNumberFormat="1" applyFont="1" applyFill="1" applyBorder="1">
      <alignment vertical="center"/>
    </xf>
    <xf numFmtId="177" fontId="0" fillId="3" borderId="7" xfId="1" applyNumberFormat="1" applyFont="1" applyFill="1" applyBorder="1">
      <alignment vertical="center"/>
    </xf>
    <xf numFmtId="38" fontId="6" fillId="3" borderId="4" xfId="1" applyNumberFormat="1" applyFont="1" applyFill="1" applyBorder="1">
      <alignment vertical="center"/>
    </xf>
    <xf numFmtId="38" fontId="0" fillId="3" borderId="0" xfId="0" applyNumberFormat="1" applyFill="1">
      <alignment vertical="center"/>
    </xf>
    <xf numFmtId="177" fontId="0" fillId="3" borderId="0" xfId="0" applyNumberFormat="1" applyFill="1">
      <alignment vertical="center"/>
    </xf>
  </cellXfs>
  <cellStyles count="2">
    <cellStyle name="一般" xfId="0" builtinId="0"/>
    <cellStyle name="千分位" xfId="1" builtinId="3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J250"/>
  <sheetViews>
    <sheetView tabSelected="1" workbookViewId="0">
      <selection activeCell="B6" sqref="B6"/>
    </sheetView>
  </sheetViews>
  <sheetFormatPr defaultRowHeight="16.5" x14ac:dyDescent="0.25"/>
  <cols>
    <col min="1" max="1" width="15" style="22" customWidth="1"/>
    <col min="2" max="2" width="14.375" style="3" customWidth="1"/>
    <col min="3" max="3" width="14.25" style="3" customWidth="1"/>
    <col min="4" max="4" width="6" style="3" bestFit="1" customWidth="1"/>
    <col min="5" max="5" width="10.25" style="27" bestFit="1" customWidth="1"/>
    <col min="6" max="6" width="10.25" style="3" bestFit="1" customWidth="1"/>
    <col min="7" max="7" width="15" style="3" bestFit="1" customWidth="1"/>
    <col min="8" max="8" width="10.25" style="3" bestFit="1" customWidth="1"/>
    <col min="9" max="256" width="9" style="3"/>
    <col min="257" max="257" width="13.625" style="3" customWidth="1"/>
    <col min="258" max="258" width="12.625" style="3" bestFit="1" customWidth="1"/>
    <col min="259" max="259" width="14.25" style="3" customWidth="1"/>
    <col min="260" max="260" width="15.5" style="3" customWidth="1"/>
    <col min="261" max="261" width="17.375" style="3" customWidth="1"/>
    <col min="262" max="262" width="10.875" style="3" bestFit="1" customWidth="1"/>
    <col min="263" max="263" width="11.125" style="3" bestFit="1" customWidth="1"/>
    <col min="264" max="264" width="13.875" style="3" bestFit="1" customWidth="1"/>
    <col min="265" max="512" width="9" style="3"/>
    <col min="513" max="513" width="13.625" style="3" customWidth="1"/>
    <col min="514" max="514" width="12.625" style="3" bestFit="1" customWidth="1"/>
    <col min="515" max="515" width="14.25" style="3" customWidth="1"/>
    <col min="516" max="516" width="15.5" style="3" customWidth="1"/>
    <col min="517" max="517" width="17.375" style="3" customWidth="1"/>
    <col min="518" max="518" width="10.875" style="3" bestFit="1" customWidth="1"/>
    <col min="519" max="519" width="11.125" style="3" bestFit="1" customWidth="1"/>
    <col min="520" max="520" width="13.875" style="3" bestFit="1" customWidth="1"/>
    <col min="521" max="768" width="9" style="3"/>
    <col min="769" max="769" width="13.625" style="3" customWidth="1"/>
    <col min="770" max="770" width="12.625" style="3" bestFit="1" customWidth="1"/>
    <col min="771" max="771" width="14.25" style="3" customWidth="1"/>
    <col min="772" max="772" width="15.5" style="3" customWidth="1"/>
    <col min="773" max="773" width="17.375" style="3" customWidth="1"/>
    <col min="774" max="774" width="10.875" style="3" bestFit="1" customWidth="1"/>
    <col min="775" max="775" width="11.125" style="3" bestFit="1" customWidth="1"/>
    <col min="776" max="776" width="13.875" style="3" bestFit="1" customWidth="1"/>
    <col min="777" max="1024" width="9" style="3"/>
    <col min="1025" max="1025" width="13.625" style="3" customWidth="1"/>
    <col min="1026" max="1026" width="12.625" style="3" bestFit="1" customWidth="1"/>
    <col min="1027" max="1027" width="14.25" style="3" customWidth="1"/>
    <col min="1028" max="1028" width="15.5" style="3" customWidth="1"/>
    <col min="1029" max="1029" width="17.375" style="3" customWidth="1"/>
    <col min="1030" max="1030" width="10.875" style="3" bestFit="1" customWidth="1"/>
    <col min="1031" max="1031" width="11.125" style="3" bestFit="1" customWidth="1"/>
    <col min="1032" max="1032" width="13.875" style="3" bestFit="1" customWidth="1"/>
    <col min="1033" max="1280" width="9" style="3"/>
    <col min="1281" max="1281" width="13.625" style="3" customWidth="1"/>
    <col min="1282" max="1282" width="12.625" style="3" bestFit="1" customWidth="1"/>
    <col min="1283" max="1283" width="14.25" style="3" customWidth="1"/>
    <col min="1284" max="1284" width="15.5" style="3" customWidth="1"/>
    <col min="1285" max="1285" width="17.375" style="3" customWidth="1"/>
    <col min="1286" max="1286" width="10.875" style="3" bestFit="1" customWidth="1"/>
    <col min="1287" max="1287" width="11.125" style="3" bestFit="1" customWidth="1"/>
    <col min="1288" max="1288" width="13.875" style="3" bestFit="1" customWidth="1"/>
    <col min="1289" max="1536" width="9" style="3"/>
    <col min="1537" max="1537" width="13.625" style="3" customWidth="1"/>
    <col min="1538" max="1538" width="12.625" style="3" bestFit="1" customWidth="1"/>
    <col min="1539" max="1539" width="14.25" style="3" customWidth="1"/>
    <col min="1540" max="1540" width="15.5" style="3" customWidth="1"/>
    <col min="1541" max="1541" width="17.375" style="3" customWidth="1"/>
    <col min="1542" max="1542" width="10.875" style="3" bestFit="1" customWidth="1"/>
    <col min="1543" max="1543" width="11.125" style="3" bestFit="1" customWidth="1"/>
    <col min="1544" max="1544" width="13.875" style="3" bestFit="1" customWidth="1"/>
    <col min="1545" max="1792" width="9" style="3"/>
    <col min="1793" max="1793" width="13.625" style="3" customWidth="1"/>
    <col min="1794" max="1794" width="12.625" style="3" bestFit="1" customWidth="1"/>
    <col min="1795" max="1795" width="14.25" style="3" customWidth="1"/>
    <col min="1796" max="1796" width="15.5" style="3" customWidth="1"/>
    <col min="1797" max="1797" width="17.375" style="3" customWidth="1"/>
    <col min="1798" max="1798" width="10.875" style="3" bestFit="1" customWidth="1"/>
    <col min="1799" max="1799" width="11.125" style="3" bestFit="1" customWidth="1"/>
    <col min="1800" max="1800" width="13.875" style="3" bestFit="1" customWidth="1"/>
    <col min="1801" max="2048" width="9" style="3"/>
    <col min="2049" max="2049" width="13.625" style="3" customWidth="1"/>
    <col min="2050" max="2050" width="12.625" style="3" bestFit="1" customWidth="1"/>
    <col min="2051" max="2051" width="14.25" style="3" customWidth="1"/>
    <col min="2052" max="2052" width="15.5" style="3" customWidth="1"/>
    <col min="2053" max="2053" width="17.375" style="3" customWidth="1"/>
    <col min="2054" max="2054" width="10.875" style="3" bestFit="1" customWidth="1"/>
    <col min="2055" max="2055" width="11.125" style="3" bestFit="1" customWidth="1"/>
    <col min="2056" max="2056" width="13.875" style="3" bestFit="1" customWidth="1"/>
    <col min="2057" max="2304" width="9" style="3"/>
    <col min="2305" max="2305" width="13.625" style="3" customWidth="1"/>
    <col min="2306" max="2306" width="12.625" style="3" bestFit="1" customWidth="1"/>
    <col min="2307" max="2307" width="14.25" style="3" customWidth="1"/>
    <col min="2308" max="2308" width="15.5" style="3" customWidth="1"/>
    <col min="2309" max="2309" width="17.375" style="3" customWidth="1"/>
    <col min="2310" max="2310" width="10.875" style="3" bestFit="1" customWidth="1"/>
    <col min="2311" max="2311" width="11.125" style="3" bestFit="1" customWidth="1"/>
    <col min="2312" max="2312" width="13.875" style="3" bestFit="1" customWidth="1"/>
    <col min="2313" max="2560" width="9" style="3"/>
    <col min="2561" max="2561" width="13.625" style="3" customWidth="1"/>
    <col min="2562" max="2562" width="12.625" style="3" bestFit="1" customWidth="1"/>
    <col min="2563" max="2563" width="14.25" style="3" customWidth="1"/>
    <col min="2564" max="2564" width="15.5" style="3" customWidth="1"/>
    <col min="2565" max="2565" width="17.375" style="3" customWidth="1"/>
    <col min="2566" max="2566" width="10.875" style="3" bestFit="1" customWidth="1"/>
    <col min="2567" max="2567" width="11.125" style="3" bestFit="1" customWidth="1"/>
    <col min="2568" max="2568" width="13.875" style="3" bestFit="1" customWidth="1"/>
    <col min="2569" max="2816" width="9" style="3"/>
    <col min="2817" max="2817" width="13.625" style="3" customWidth="1"/>
    <col min="2818" max="2818" width="12.625" style="3" bestFit="1" customWidth="1"/>
    <col min="2819" max="2819" width="14.25" style="3" customWidth="1"/>
    <col min="2820" max="2820" width="15.5" style="3" customWidth="1"/>
    <col min="2821" max="2821" width="17.375" style="3" customWidth="1"/>
    <col min="2822" max="2822" width="10.875" style="3" bestFit="1" customWidth="1"/>
    <col min="2823" max="2823" width="11.125" style="3" bestFit="1" customWidth="1"/>
    <col min="2824" max="2824" width="13.875" style="3" bestFit="1" customWidth="1"/>
    <col min="2825" max="3072" width="9" style="3"/>
    <col min="3073" max="3073" width="13.625" style="3" customWidth="1"/>
    <col min="3074" max="3074" width="12.625" style="3" bestFit="1" customWidth="1"/>
    <col min="3075" max="3075" width="14.25" style="3" customWidth="1"/>
    <col min="3076" max="3076" width="15.5" style="3" customWidth="1"/>
    <col min="3077" max="3077" width="17.375" style="3" customWidth="1"/>
    <col min="3078" max="3078" width="10.875" style="3" bestFit="1" customWidth="1"/>
    <col min="3079" max="3079" width="11.125" style="3" bestFit="1" customWidth="1"/>
    <col min="3080" max="3080" width="13.875" style="3" bestFit="1" customWidth="1"/>
    <col min="3081" max="3328" width="9" style="3"/>
    <col min="3329" max="3329" width="13.625" style="3" customWidth="1"/>
    <col min="3330" max="3330" width="12.625" style="3" bestFit="1" customWidth="1"/>
    <col min="3331" max="3331" width="14.25" style="3" customWidth="1"/>
    <col min="3332" max="3332" width="15.5" style="3" customWidth="1"/>
    <col min="3333" max="3333" width="17.375" style="3" customWidth="1"/>
    <col min="3334" max="3334" width="10.875" style="3" bestFit="1" customWidth="1"/>
    <col min="3335" max="3335" width="11.125" style="3" bestFit="1" customWidth="1"/>
    <col min="3336" max="3336" width="13.875" style="3" bestFit="1" customWidth="1"/>
    <col min="3337" max="3584" width="9" style="3"/>
    <col min="3585" max="3585" width="13.625" style="3" customWidth="1"/>
    <col min="3586" max="3586" width="12.625" style="3" bestFit="1" customWidth="1"/>
    <col min="3587" max="3587" width="14.25" style="3" customWidth="1"/>
    <col min="3588" max="3588" width="15.5" style="3" customWidth="1"/>
    <col min="3589" max="3589" width="17.375" style="3" customWidth="1"/>
    <col min="3590" max="3590" width="10.875" style="3" bestFit="1" customWidth="1"/>
    <col min="3591" max="3591" width="11.125" style="3" bestFit="1" customWidth="1"/>
    <col min="3592" max="3592" width="13.875" style="3" bestFit="1" customWidth="1"/>
    <col min="3593" max="3840" width="9" style="3"/>
    <col min="3841" max="3841" width="13.625" style="3" customWidth="1"/>
    <col min="3842" max="3842" width="12.625" style="3" bestFit="1" customWidth="1"/>
    <col min="3843" max="3843" width="14.25" style="3" customWidth="1"/>
    <col min="3844" max="3844" width="15.5" style="3" customWidth="1"/>
    <col min="3845" max="3845" width="17.375" style="3" customWidth="1"/>
    <col min="3846" max="3846" width="10.875" style="3" bestFit="1" customWidth="1"/>
    <col min="3847" max="3847" width="11.125" style="3" bestFit="1" customWidth="1"/>
    <col min="3848" max="3848" width="13.875" style="3" bestFit="1" customWidth="1"/>
    <col min="3849" max="4096" width="9" style="3"/>
    <col min="4097" max="4097" width="13.625" style="3" customWidth="1"/>
    <col min="4098" max="4098" width="12.625" style="3" bestFit="1" customWidth="1"/>
    <col min="4099" max="4099" width="14.25" style="3" customWidth="1"/>
    <col min="4100" max="4100" width="15.5" style="3" customWidth="1"/>
    <col min="4101" max="4101" width="17.375" style="3" customWidth="1"/>
    <col min="4102" max="4102" width="10.875" style="3" bestFit="1" customWidth="1"/>
    <col min="4103" max="4103" width="11.125" style="3" bestFit="1" customWidth="1"/>
    <col min="4104" max="4104" width="13.875" style="3" bestFit="1" customWidth="1"/>
    <col min="4105" max="4352" width="9" style="3"/>
    <col min="4353" max="4353" width="13.625" style="3" customWidth="1"/>
    <col min="4354" max="4354" width="12.625" style="3" bestFit="1" customWidth="1"/>
    <col min="4355" max="4355" width="14.25" style="3" customWidth="1"/>
    <col min="4356" max="4356" width="15.5" style="3" customWidth="1"/>
    <col min="4357" max="4357" width="17.375" style="3" customWidth="1"/>
    <col min="4358" max="4358" width="10.875" style="3" bestFit="1" customWidth="1"/>
    <col min="4359" max="4359" width="11.125" style="3" bestFit="1" customWidth="1"/>
    <col min="4360" max="4360" width="13.875" style="3" bestFit="1" customWidth="1"/>
    <col min="4361" max="4608" width="9" style="3"/>
    <col min="4609" max="4609" width="13.625" style="3" customWidth="1"/>
    <col min="4610" max="4610" width="12.625" style="3" bestFit="1" customWidth="1"/>
    <col min="4611" max="4611" width="14.25" style="3" customWidth="1"/>
    <col min="4612" max="4612" width="15.5" style="3" customWidth="1"/>
    <col min="4613" max="4613" width="17.375" style="3" customWidth="1"/>
    <col min="4614" max="4614" width="10.875" style="3" bestFit="1" customWidth="1"/>
    <col min="4615" max="4615" width="11.125" style="3" bestFit="1" customWidth="1"/>
    <col min="4616" max="4616" width="13.875" style="3" bestFit="1" customWidth="1"/>
    <col min="4617" max="4864" width="9" style="3"/>
    <col min="4865" max="4865" width="13.625" style="3" customWidth="1"/>
    <col min="4866" max="4866" width="12.625" style="3" bestFit="1" customWidth="1"/>
    <col min="4867" max="4867" width="14.25" style="3" customWidth="1"/>
    <col min="4868" max="4868" width="15.5" style="3" customWidth="1"/>
    <col min="4869" max="4869" width="17.375" style="3" customWidth="1"/>
    <col min="4870" max="4870" width="10.875" style="3" bestFit="1" customWidth="1"/>
    <col min="4871" max="4871" width="11.125" style="3" bestFit="1" customWidth="1"/>
    <col min="4872" max="4872" width="13.875" style="3" bestFit="1" customWidth="1"/>
    <col min="4873" max="5120" width="9" style="3"/>
    <col min="5121" max="5121" width="13.625" style="3" customWidth="1"/>
    <col min="5122" max="5122" width="12.625" style="3" bestFit="1" customWidth="1"/>
    <col min="5123" max="5123" width="14.25" style="3" customWidth="1"/>
    <col min="5124" max="5124" width="15.5" style="3" customWidth="1"/>
    <col min="5125" max="5125" width="17.375" style="3" customWidth="1"/>
    <col min="5126" max="5126" width="10.875" style="3" bestFit="1" customWidth="1"/>
    <col min="5127" max="5127" width="11.125" style="3" bestFit="1" customWidth="1"/>
    <col min="5128" max="5128" width="13.875" style="3" bestFit="1" customWidth="1"/>
    <col min="5129" max="5376" width="9" style="3"/>
    <col min="5377" max="5377" width="13.625" style="3" customWidth="1"/>
    <col min="5378" max="5378" width="12.625" style="3" bestFit="1" customWidth="1"/>
    <col min="5379" max="5379" width="14.25" style="3" customWidth="1"/>
    <col min="5380" max="5380" width="15.5" style="3" customWidth="1"/>
    <col min="5381" max="5381" width="17.375" style="3" customWidth="1"/>
    <col min="5382" max="5382" width="10.875" style="3" bestFit="1" customWidth="1"/>
    <col min="5383" max="5383" width="11.125" style="3" bestFit="1" customWidth="1"/>
    <col min="5384" max="5384" width="13.875" style="3" bestFit="1" customWidth="1"/>
    <col min="5385" max="5632" width="9" style="3"/>
    <col min="5633" max="5633" width="13.625" style="3" customWidth="1"/>
    <col min="5634" max="5634" width="12.625" style="3" bestFit="1" customWidth="1"/>
    <col min="5635" max="5635" width="14.25" style="3" customWidth="1"/>
    <col min="5636" max="5636" width="15.5" style="3" customWidth="1"/>
    <col min="5637" max="5637" width="17.375" style="3" customWidth="1"/>
    <col min="5638" max="5638" width="10.875" style="3" bestFit="1" customWidth="1"/>
    <col min="5639" max="5639" width="11.125" style="3" bestFit="1" customWidth="1"/>
    <col min="5640" max="5640" width="13.875" style="3" bestFit="1" customWidth="1"/>
    <col min="5641" max="5888" width="9" style="3"/>
    <col min="5889" max="5889" width="13.625" style="3" customWidth="1"/>
    <col min="5890" max="5890" width="12.625" style="3" bestFit="1" customWidth="1"/>
    <col min="5891" max="5891" width="14.25" style="3" customWidth="1"/>
    <col min="5892" max="5892" width="15.5" style="3" customWidth="1"/>
    <col min="5893" max="5893" width="17.375" style="3" customWidth="1"/>
    <col min="5894" max="5894" width="10.875" style="3" bestFit="1" customWidth="1"/>
    <col min="5895" max="5895" width="11.125" style="3" bestFit="1" customWidth="1"/>
    <col min="5896" max="5896" width="13.875" style="3" bestFit="1" customWidth="1"/>
    <col min="5897" max="6144" width="9" style="3"/>
    <col min="6145" max="6145" width="13.625" style="3" customWidth="1"/>
    <col min="6146" max="6146" width="12.625" style="3" bestFit="1" customWidth="1"/>
    <col min="6147" max="6147" width="14.25" style="3" customWidth="1"/>
    <col min="6148" max="6148" width="15.5" style="3" customWidth="1"/>
    <col min="6149" max="6149" width="17.375" style="3" customWidth="1"/>
    <col min="6150" max="6150" width="10.875" style="3" bestFit="1" customWidth="1"/>
    <col min="6151" max="6151" width="11.125" style="3" bestFit="1" customWidth="1"/>
    <col min="6152" max="6152" width="13.875" style="3" bestFit="1" customWidth="1"/>
    <col min="6153" max="6400" width="9" style="3"/>
    <col min="6401" max="6401" width="13.625" style="3" customWidth="1"/>
    <col min="6402" max="6402" width="12.625" style="3" bestFit="1" customWidth="1"/>
    <col min="6403" max="6403" width="14.25" style="3" customWidth="1"/>
    <col min="6404" max="6404" width="15.5" style="3" customWidth="1"/>
    <col min="6405" max="6405" width="17.375" style="3" customWidth="1"/>
    <col min="6406" max="6406" width="10.875" style="3" bestFit="1" customWidth="1"/>
    <col min="6407" max="6407" width="11.125" style="3" bestFit="1" customWidth="1"/>
    <col min="6408" max="6408" width="13.875" style="3" bestFit="1" customWidth="1"/>
    <col min="6409" max="6656" width="9" style="3"/>
    <col min="6657" max="6657" width="13.625" style="3" customWidth="1"/>
    <col min="6658" max="6658" width="12.625" style="3" bestFit="1" customWidth="1"/>
    <col min="6659" max="6659" width="14.25" style="3" customWidth="1"/>
    <col min="6660" max="6660" width="15.5" style="3" customWidth="1"/>
    <col min="6661" max="6661" width="17.375" style="3" customWidth="1"/>
    <col min="6662" max="6662" width="10.875" style="3" bestFit="1" customWidth="1"/>
    <col min="6663" max="6663" width="11.125" style="3" bestFit="1" customWidth="1"/>
    <col min="6664" max="6664" width="13.875" style="3" bestFit="1" customWidth="1"/>
    <col min="6665" max="6912" width="9" style="3"/>
    <col min="6913" max="6913" width="13.625" style="3" customWidth="1"/>
    <col min="6914" max="6914" width="12.625" style="3" bestFit="1" customWidth="1"/>
    <col min="6915" max="6915" width="14.25" style="3" customWidth="1"/>
    <col min="6916" max="6916" width="15.5" style="3" customWidth="1"/>
    <col min="6917" max="6917" width="17.375" style="3" customWidth="1"/>
    <col min="6918" max="6918" width="10.875" style="3" bestFit="1" customWidth="1"/>
    <col min="6919" max="6919" width="11.125" style="3" bestFit="1" customWidth="1"/>
    <col min="6920" max="6920" width="13.875" style="3" bestFit="1" customWidth="1"/>
    <col min="6921" max="7168" width="9" style="3"/>
    <col min="7169" max="7169" width="13.625" style="3" customWidth="1"/>
    <col min="7170" max="7170" width="12.625" style="3" bestFit="1" customWidth="1"/>
    <col min="7171" max="7171" width="14.25" style="3" customWidth="1"/>
    <col min="7172" max="7172" width="15.5" style="3" customWidth="1"/>
    <col min="7173" max="7173" width="17.375" style="3" customWidth="1"/>
    <col min="7174" max="7174" width="10.875" style="3" bestFit="1" customWidth="1"/>
    <col min="7175" max="7175" width="11.125" style="3" bestFit="1" customWidth="1"/>
    <col min="7176" max="7176" width="13.875" style="3" bestFit="1" customWidth="1"/>
    <col min="7177" max="7424" width="9" style="3"/>
    <col min="7425" max="7425" width="13.625" style="3" customWidth="1"/>
    <col min="7426" max="7426" width="12.625" style="3" bestFit="1" customWidth="1"/>
    <col min="7427" max="7427" width="14.25" style="3" customWidth="1"/>
    <col min="7428" max="7428" width="15.5" style="3" customWidth="1"/>
    <col min="7429" max="7429" width="17.375" style="3" customWidth="1"/>
    <col min="7430" max="7430" width="10.875" style="3" bestFit="1" customWidth="1"/>
    <col min="7431" max="7431" width="11.125" style="3" bestFit="1" customWidth="1"/>
    <col min="7432" max="7432" width="13.875" style="3" bestFit="1" customWidth="1"/>
    <col min="7433" max="7680" width="9" style="3"/>
    <col min="7681" max="7681" width="13.625" style="3" customWidth="1"/>
    <col min="7682" max="7682" width="12.625" style="3" bestFit="1" customWidth="1"/>
    <col min="7683" max="7683" width="14.25" style="3" customWidth="1"/>
    <col min="7684" max="7684" width="15.5" style="3" customWidth="1"/>
    <col min="7685" max="7685" width="17.375" style="3" customWidth="1"/>
    <col min="7686" max="7686" width="10.875" style="3" bestFit="1" customWidth="1"/>
    <col min="7687" max="7687" width="11.125" style="3" bestFit="1" customWidth="1"/>
    <col min="7688" max="7688" width="13.875" style="3" bestFit="1" customWidth="1"/>
    <col min="7689" max="7936" width="9" style="3"/>
    <col min="7937" max="7937" width="13.625" style="3" customWidth="1"/>
    <col min="7938" max="7938" width="12.625" style="3" bestFit="1" customWidth="1"/>
    <col min="7939" max="7939" width="14.25" style="3" customWidth="1"/>
    <col min="7940" max="7940" width="15.5" style="3" customWidth="1"/>
    <col min="7941" max="7941" width="17.375" style="3" customWidth="1"/>
    <col min="7942" max="7942" width="10.875" style="3" bestFit="1" customWidth="1"/>
    <col min="7943" max="7943" width="11.125" style="3" bestFit="1" customWidth="1"/>
    <col min="7944" max="7944" width="13.875" style="3" bestFit="1" customWidth="1"/>
    <col min="7945" max="8192" width="9" style="3"/>
    <col min="8193" max="8193" width="13.625" style="3" customWidth="1"/>
    <col min="8194" max="8194" width="12.625" style="3" bestFit="1" customWidth="1"/>
    <col min="8195" max="8195" width="14.25" style="3" customWidth="1"/>
    <col min="8196" max="8196" width="15.5" style="3" customWidth="1"/>
    <col min="8197" max="8197" width="17.375" style="3" customWidth="1"/>
    <col min="8198" max="8198" width="10.875" style="3" bestFit="1" customWidth="1"/>
    <col min="8199" max="8199" width="11.125" style="3" bestFit="1" customWidth="1"/>
    <col min="8200" max="8200" width="13.875" style="3" bestFit="1" customWidth="1"/>
    <col min="8201" max="8448" width="9" style="3"/>
    <col min="8449" max="8449" width="13.625" style="3" customWidth="1"/>
    <col min="8450" max="8450" width="12.625" style="3" bestFit="1" customWidth="1"/>
    <col min="8451" max="8451" width="14.25" style="3" customWidth="1"/>
    <col min="8452" max="8452" width="15.5" style="3" customWidth="1"/>
    <col min="8453" max="8453" width="17.375" style="3" customWidth="1"/>
    <col min="8454" max="8454" width="10.875" style="3" bestFit="1" customWidth="1"/>
    <col min="8455" max="8455" width="11.125" style="3" bestFit="1" customWidth="1"/>
    <col min="8456" max="8456" width="13.875" style="3" bestFit="1" customWidth="1"/>
    <col min="8457" max="8704" width="9" style="3"/>
    <col min="8705" max="8705" width="13.625" style="3" customWidth="1"/>
    <col min="8706" max="8706" width="12.625" style="3" bestFit="1" customWidth="1"/>
    <col min="8707" max="8707" width="14.25" style="3" customWidth="1"/>
    <col min="8708" max="8708" width="15.5" style="3" customWidth="1"/>
    <col min="8709" max="8709" width="17.375" style="3" customWidth="1"/>
    <col min="8710" max="8710" width="10.875" style="3" bestFit="1" customWidth="1"/>
    <col min="8711" max="8711" width="11.125" style="3" bestFit="1" customWidth="1"/>
    <col min="8712" max="8712" width="13.875" style="3" bestFit="1" customWidth="1"/>
    <col min="8713" max="8960" width="9" style="3"/>
    <col min="8961" max="8961" width="13.625" style="3" customWidth="1"/>
    <col min="8962" max="8962" width="12.625" style="3" bestFit="1" customWidth="1"/>
    <col min="8963" max="8963" width="14.25" style="3" customWidth="1"/>
    <col min="8964" max="8964" width="15.5" style="3" customWidth="1"/>
    <col min="8965" max="8965" width="17.375" style="3" customWidth="1"/>
    <col min="8966" max="8966" width="10.875" style="3" bestFit="1" customWidth="1"/>
    <col min="8967" max="8967" width="11.125" style="3" bestFit="1" customWidth="1"/>
    <col min="8968" max="8968" width="13.875" style="3" bestFit="1" customWidth="1"/>
    <col min="8969" max="9216" width="9" style="3"/>
    <col min="9217" max="9217" width="13.625" style="3" customWidth="1"/>
    <col min="9218" max="9218" width="12.625" style="3" bestFit="1" customWidth="1"/>
    <col min="9219" max="9219" width="14.25" style="3" customWidth="1"/>
    <col min="9220" max="9220" width="15.5" style="3" customWidth="1"/>
    <col min="9221" max="9221" width="17.375" style="3" customWidth="1"/>
    <col min="9222" max="9222" width="10.875" style="3" bestFit="1" customWidth="1"/>
    <col min="9223" max="9223" width="11.125" style="3" bestFit="1" customWidth="1"/>
    <col min="9224" max="9224" width="13.875" style="3" bestFit="1" customWidth="1"/>
    <col min="9225" max="9472" width="9" style="3"/>
    <col min="9473" max="9473" width="13.625" style="3" customWidth="1"/>
    <col min="9474" max="9474" width="12.625" style="3" bestFit="1" customWidth="1"/>
    <col min="9475" max="9475" width="14.25" style="3" customWidth="1"/>
    <col min="9476" max="9476" width="15.5" style="3" customWidth="1"/>
    <col min="9477" max="9477" width="17.375" style="3" customWidth="1"/>
    <col min="9478" max="9478" width="10.875" style="3" bestFit="1" customWidth="1"/>
    <col min="9479" max="9479" width="11.125" style="3" bestFit="1" customWidth="1"/>
    <col min="9480" max="9480" width="13.875" style="3" bestFit="1" customWidth="1"/>
    <col min="9481" max="9728" width="9" style="3"/>
    <col min="9729" max="9729" width="13.625" style="3" customWidth="1"/>
    <col min="9730" max="9730" width="12.625" style="3" bestFit="1" customWidth="1"/>
    <col min="9731" max="9731" width="14.25" style="3" customWidth="1"/>
    <col min="9732" max="9732" width="15.5" style="3" customWidth="1"/>
    <col min="9733" max="9733" width="17.375" style="3" customWidth="1"/>
    <col min="9734" max="9734" width="10.875" style="3" bestFit="1" customWidth="1"/>
    <col min="9735" max="9735" width="11.125" style="3" bestFit="1" customWidth="1"/>
    <col min="9736" max="9736" width="13.875" style="3" bestFit="1" customWidth="1"/>
    <col min="9737" max="9984" width="9" style="3"/>
    <col min="9985" max="9985" width="13.625" style="3" customWidth="1"/>
    <col min="9986" max="9986" width="12.625" style="3" bestFit="1" customWidth="1"/>
    <col min="9987" max="9987" width="14.25" style="3" customWidth="1"/>
    <col min="9988" max="9988" width="15.5" style="3" customWidth="1"/>
    <col min="9989" max="9989" width="17.375" style="3" customWidth="1"/>
    <col min="9990" max="9990" width="10.875" style="3" bestFit="1" customWidth="1"/>
    <col min="9991" max="9991" width="11.125" style="3" bestFit="1" customWidth="1"/>
    <col min="9992" max="9992" width="13.875" style="3" bestFit="1" customWidth="1"/>
    <col min="9993" max="10240" width="9" style="3"/>
    <col min="10241" max="10241" width="13.625" style="3" customWidth="1"/>
    <col min="10242" max="10242" width="12.625" style="3" bestFit="1" customWidth="1"/>
    <col min="10243" max="10243" width="14.25" style="3" customWidth="1"/>
    <col min="10244" max="10244" width="15.5" style="3" customWidth="1"/>
    <col min="10245" max="10245" width="17.375" style="3" customWidth="1"/>
    <col min="10246" max="10246" width="10.875" style="3" bestFit="1" customWidth="1"/>
    <col min="10247" max="10247" width="11.125" style="3" bestFit="1" customWidth="1"/>
    <col min="10248" max="10248" width="13.875" style="3" bestFit="1" customWidth="1"/>
    <col min="10249" max="10496" width="9" style="3"/>
    <col min="10497" max="10497" width="13.625" style="3" customWidth="1"/>
    <col min="10498" max="10498" width="12.625" style="3" bestFit="1" customWidth="1"/>
    <col min="10499" max="10499" width="14.25" style="3" customWidth="1"/>
    <col min="10500" max="10500" width="15.5" style="3" customWidth="1"/>
    <col min="10501" max="10501" width="17.375" style="3" customWidth="1"/>
    <col min="10502" max="10502" width="10.875" style="3" bestFit="1" customWidth="1"/>
    <col min="10503" max="10503" width="11.125" style="3" bestFit="1" customWidth="1"/>
    <col min="10504" max="10504" width="13.875" style="3" bestFit="1" customWidth="1"/>
    <col min="10505" max="10752" width="9" style="3"/>
    <col min="10753" max="10753" width="13.625" style="3" customWidth="1"/>
    <col min="10754" max="10754" width="12.625" style="3" bestFit="1" customWidth="1"/>
    <col min="10755" max="10755" width="14.25" style="3" customWidth="1"/>
    <col min="10756" max="10756" width="15.5" style="3" customWidth="1"/>
    <col min="10757" max="10757" width="17.375" style="3" customWidth="1"/>
    <col min="10758" max="10758" width="10.875" style="3" bestFit="1" customWidth="1"/>
    <col min="10759" max="10759" width="11.125" style="3" bestFit="1" customWidth="1"/>
    <col min="10760" max="10760" width="13.875" style="3" bestFit="1" customWidth="1"/>
    <col min="10761" max="11008" width="9" style="3"/>
    <col min="11009" max="11009" width="13.625" style="3" customWidth="1"/>
    <col min="11010" max="11010" width="12.625" style="3" bestFit="1" customWidth="1"/>
    <col min="11011" max="11011" width="14.25" style="3" customWidth="1"/>
    <col min="11012" max="11012" width="15.5" style="3" customWidth="1"/>
    <col min="11013" max="11013" width="17.375" style="3" customWidth="1"/>
    <col min="11014" max="11014" width="10.875" style="3" bestFit="1" customWidth="1"/>
    <col min="11015" max="11015" width="11.125" style="3" bestFit="1" customWidth="1"/>
    <col min="11016" max="11016" width="13.875" style="3" bestFit="1" customWidth="1"/>
    <col min="11017" max="11264" width="9" style="3"/>
    <col min="11265" max="11265" width="13.625" style="3" customWidth="1"/>
    <col min="11266" max="11266" width="12.625" style="3" bestFit="1" customWidth="1"/>
    <col min="11267" max="11267" width="14.25" style="3" customWidth="1"/>
    <col min="11268" max="11268" width="15.5" style="3" customWidth="1"/>
    <col min="11269" max="11269" width="17.375" style="3" customWidth="1"/>
    <col min="11270" max="11270" width="10.875" style="3" bestFit="1" customWidth="1"/>
    <col min="11271" max="11271" width="11.125" style="3" bestFit="1" customWidth="1"/>
    <col min="11272" max="11272" width="13.875" style="3" bestFit="1" customWidth="1"/>
    <col min="11273" max="11520" width="9" style="3"/>
    <col min="11521" max="11521" width="13.625" style="3" customWidth="1"/>
    <col min="11522" max="11522" width="12.625" style="3" bestFit="1" customWidth="1"/>
    <col min="11523" max="11523" width="14.25" style="3" customWidth="1"/>
    <col min="11524" max="11524" width="15.5" style="3" customWidth="1"/>
    <col min="11525" max="11525" width="17.375" style="3" customWidth="1"/>
    <col min="11526" max="11526" width="10.875" style="3" bestFit="1" customWidth="1"/>
    <col min="11527" max="11527" width="11.125" style="3" bestFit="1" customWidth="1"/>
    <col min="11528" max="11528" width="13.875" style="3" bestFit="1" customWidth="1"/>
    <col min="11529" max="11776" width="9" style="3"/>
    <col min="11777" max="11777" width="13.625" style="3" customWidth="1"/>
    <col min="11778" max="11778" width="12.625" style="3" bestFit="1" customWidth="1"/>
    <col min="11779" max="11779" width="14.25" style="3" customWidth="1"/>
    <col min="11780" max="11780" width="15.5" style="3" customWidth="1"/>
    <col min="11781" max="11781" width="17.375" style="3" customWidth="1"/>
    <col min="11782" max="11782" width="10.875" style="3" bestFit="1" customWidth="1"/>
    <col min="11783" max="11783" width="11.125" style="3" bestFit="1" customWidth="1"/>
    <col min="11784" max="11784" width="13.875" style="3" bestFit="1" customWidth="1"/>
    <col min="11785" max="12032" width="9" style="3"/>
    <col min="12033" max="12033" width="13.625" style="3" customWidth="1"/>
    <col min="12034" max="12034" width="12.625" style="3" bestFit="1" customWidth="1"/>
    <col min="12035" max="12035" width="14.25" style="3" customWidth="1"/>
    <col min="12036" max="12036" width="15.5" style="3" customWidth="1"/>
    <col min="12037" max="12037" width="17.375" style="3" customWidth="1"/>
    <col min="12038" max="12038" width="10.875" style="3" bestFit="1" customWidth="1"/>
    <col min="12039" max="12039" width="11.125" style="3" bestFit="1" customWidth="1"/>
    <col min="12040" max="12040" width="13.875" style="3" bestFit="1" customWidth="1"/>
    <col min="12041" max="12288" width="9" style="3"/>
    <col min="12289" max="12289" width="13.625" style="3" customWidth="1"/>
    <col min="12290" max="12290" width="12.625" style="3" bestFit="1" customWidth="1"/>
    <col min="12291" max="12291" width="14.25" style="3" customWidth="1"/>
    <col min="12292" max="12292" width="15.5" style="3" customWidth="1"/>
    <col min="12293" max="12293" width="17.375" style="3" customWidth="1"/>
    <col min="12294" max="12294" width="10.875" style="3" bestFit="1" customWidth="1"/>
    <col min="12295" max="12295" width="11.125" style="3" bestFit="1" customWidth="1"/>
    <col min="12296" max="12296" width="13.875" style="3" bestFit="1" customWidth="1"/>
    <col min="12297" max="12544" width="9" style="3"/>
    <col min="12545" max="12545" width="13.625" style="3" customWidth="1"/>
    <col min="12546" max="12546" width="12.625" style="3" bestFit="1" customWidth="1"/>
    <col min="12547" max="12547" width="14.25" style="3" customWidth="1"/>
    <col min="12548" max="12548" width="15.5" style="3" customWidth="1"/>
    <col min="12549" max="12549" width="17.375" style="3" customWidth="1"/>
    <col min="12550" max="12550" width="10.875" style="3" bestFit="1" customWidth="1"/>
    <col min="12551" max="12551" width="11.125" style="3" bestFit="1" customWidth="1"/>
    <col min="12552" max="12552" width="13.875" style="3" bestFit="1" customWidth="1"/>
    <col min="12553" max="12800" width="9" style="3"/>
    <col min="12801" max="12801" width="13.625" style="3" customWidth="1"/>
    <col min="12802" max="12802" width="12.625" style="3" bestFit="1" customWidth="1"/>
    <col min="12803" max="12803" width="14.25" style="3" customWidth="1"/>
    <col min="12804" max="12804" width="15.5" style="3" customWidth="1"/>
    <col min="12805" max="12805" width="17.375" style="3" customWidth="1"/>
    <col min="12806" max="12806" width="10.875" style="3" bestFit="1" customWidth="1"/>
    <col min="12807" max="12807" width="11.125" style="3" bestFit="1" customWidth="1"/>
    <col min="12808" max="12808" width="13.875" style="3" bestFit="1" customWidth="1"/>
    <col min="12809" max="13056" width="9" style="3"/>
    <col min="13057" max="13057" width="13.625" style="3" customWidth="1"/>
    <col min="13058" max="13058" width="12.625" style="3" bestFit="1" customWidth="1"/>
    <col min="13059" max="13059" width="14.25" style="3" customWidth="1"/>
    <col min="13060" max="13060" width="15.5" style="3" customWidth="1"/>
    <col min="13061" max="13061" width="17.375" style="3" customWidth="1"/>
    <col min="13062" max="13062" width="10.875" style="3" bestFit="1" customWidth="1"/>
    <col min="13063" max="13063" width="11.125" style="3" bestFit="1" customWidth="1"/>
    <col min="13064" max="13064" width="13.875" style="3" bestFit="1" customWidth="1"/>
    <col min="13065" max="13312" width="9" style="3"/>
    <col min="13313" max="13313" width="13.625" style="3" customWidth="1"/>
    <col min="13314" max="13314" width="12.625" style="3" bestFit="1" customWidth="1"/>
    <col min="13315" max="13315" width="14.25" style="3" customWidth="1"/>
    <col min="13316" max="13316" width="15.5" style="3" customWidth="1"/>
    <col min="13317" max="13317" width="17.375" style="3" customWidth="1"/>
    <col min="13318" max="13318" width="10.875" style="3" bestFit="1" customWidth="1"/>
    <col min="13319" max="13319" width="11.125" style="3" bestFit="1" customWidth="1"/>
    <col min="13320" max="13320" width="13.875" style="3" bestFit="1" customWidth="1"/>
    <col min="13321" max="13568" width="9" style="3"/>
    <col min="13569" max="13569" width="13.625" style="3" customWidth="1"/>
    <col min="13570" max="13570" width="12.625" style="3" bestFit="1" customWidth="1"/>
    <col min="13571" max="13571" width="14.25" style="3" customWidth="1"/>
    <col min="13572" max="13572" width="15.5" style="3" customWidth="1"/>
    <col min="13573" max="13573" width="17.375" style="3" customWidth="1"/>
    <col min="13574" max="13574" width="10.875" style="3" bestFit="1" customWidth="1"/>
    <col min="13575" max="13575" width="11.125" style="3" bestFit="1" customWidth="1"/>
    <col min="13576" max="13576" width="13.875" style="3" bestFit="1" customWidth="1"/>
    <col min="13577" max="13824" width="9" style="3"/>
    <col min="13825" max="13825" width="13.625" style="3" customWidth="1"/>
    <col min="13826" max="13826" width="12.625" style="3" bestFit="1" customWidth="1"/>
    <col min="13827" max="13827" width="14.25" style="3" customWidth="1"/>
    <col min="13828" max="13828" width="15.5" style="3" customWidth="1"/>
    <col min="13829" max="13829" width="17.375" style="3" customWidth="1"/>
    <col min="13830" max="13830" width="10.875" style="3" bestFit="1" customWidth="1"/>
    <col min="13831" max="13831" width="11.125" style="3" bestFit="1" customWidth="1"/>
    <col min="13832" max="13832" width="13.875" style="3" bestFit="1" customWidth="1"/>
    <col min="13833" max="14080" width="9" style="3"/>
    <col min="14081" max="14081" width="13.625" style="3" customWidth="1"/>
    <col min="14082" max="14082" width="12.625" style="3" bestFit="1" customWidth="1"/>
    <col min="14083" max="14083" width="14.25" style="3" customWidth="1"/>
    <col min="14084" max="14084" width="15.5" style="3" customWidth="1"/>
    <col min="14085" max="14085" width="17.375" style="3" customWidth="1"/>
    <col min="14086" max="14086" width="10.875" style="3" bestFit="1" customWidth="1"/>
    <col min="14087" max="14087" width="11.125" style="3" bestFit="1" customWidth="1"/>
    <col min="14088" max="14088" width="13.875" style="3" bestFit="1" customWidth="1"/>
    <col min="14089" max="14336" width="9" style="3"/>
    <col min="14337" max="14337" width="13.625" style="3" customWidth="1"/>
    <col min="14338" max="14338" width="12.625" style="3" bestFit="1" customWidth="1"/>
    <col min="14339" max="14339" width="14.25" style="3" customWidth="1"/>
    <col min="14340" max="14340" width="15.5" style="3" customWidth="1"/>
    <col min="14341" max="14341" width="17.375" style="3" customWidth="1"/>
    <col min="14342" max="14342" width="10.875" style="3" bestFit="1" customWidth="1"/>
    <col min="14343" max="14343" width="11.125" style="3" bestFit="1" customWidth="1"/>
    <col min="14344" max="14344" width="13.875" style="3" bestFit="1" customWidth="1"/>
    <col min="14345" max="14592" width="9" style="3"/>
    <col min="14593" max="14593" width="13.625" style="3" customWidth="1"/>
    <col min="14594" max="14594" width="12.625" style="3" bestFit="1" customWidth="1"/>
    <col min="14595" max="14595" width="14.25" style="3" customWidth="1"/>
    <col min="14596" max="14596" width="15.5" style="3" customWidth="1"/>
    <col min="14597" max="14597" width="17.375" style="3" customWidth="1"/>
    <col min="14598" max="14598" width="10.875" style="3" bestFit="1" customWidth="1"/>
    <col min="14599" max="14599" width="11.125" style="3" bestFit="1" customWidth="1"/>
    <col min="14600" max="14600" width="13.875" style="3" bestFit="1" customWidth="1"/>
    <col min="14601" max="14848" width="9" style="3"/>
    <col min="14849" max="14849" width="13.625" style="3" customWidth="1"/>
    <col min="14850" max="14850" width="12.625" style="3" bestFit="1" customWidth="1"/>
    <col min="14851" max="14851" width="14.25" style="3" customWidth="1"/>
    <col min="14852" max="14852" width="15.5" style="3" customWidth="1"/>
    <col min="14853" max="14853" width="17.375" style="3" customWidth="1"/>
    <col min="14854" max="14854" width="10.875" style="3" bestFit="1" customWidth="1"/>
    <col min="14855" max="14855" width="11.125" style="3" bestFit="1" customWidth="1"/>
    <col min="14856" max="14856" width="13.875" style="3" bestFit="1" customWidth="1"/>
    <col min="14857" max="15104" width="9" style="3"/>
    <col min="15105" max="15105" width="13.625" style="3" customWidth="1"/>
    <col min="15106" max="15106" width="12.625" style="3" bestFit="1" customWidth="1"/>
    <col min="15107" max="15107" width="14.25" style="3" customWidth="1"/>
    <col min="15108" max="15108" width="15.5" style="3" customWidth="1"/>
    <col min="15109" max="15109" width="17.375" style="3" customWidth="1"/>
    <col min="15110" max="15110" width="10.875" style="3" bestFit="1" customWidth="1"/>
    <col min="15111" max="15111" width="11.125" style="3" bestFit="1" customWidth="1"/>
    <col min="15112" max="15112" width="13.875" style="3" bestFit="1" customWidth="1"/>
    <col min="15113" max="15360" width="9" style="3"/>
    <col min="15361" max="15361" width="13.625" style="3" customWidth="1"/>
    <col min="15362" max="15362" width="12.625" style="3" bestFit="1" customWidth="1"/>
    <col min="15363" max="15363" width="14.25" style="3" customWidth="1"/>
    <col min="15364" max="15364" width="15.5" style="3" customWidth="1"/>
    <col min="15365" max="15365" width="17.375" style="3" customWidth="1"/>
    <col min="15366" max="15366" width="10.875" style="3" bestFit="1" customWidth="1"/>
    <col min="15367" max="15367" width="11.125" style="3" bestFit="1" customWidth="1"/>
    <col min="15368" max="15368" width="13.875" style="3" bestFit="1" customWidth="1"/>
    <col min="15369" max="15616" width="9" style="3"/>
    <col min="15617" max="15617" width="13.625" style="3" customWidth="1"/>
    <col min="15618" max="15618" width="12.625" style="3" bestFit="1" customWidth="1"/>
    <col min="15619" max="15619" width="14.25" style="3" customWidth="1"/>
    <col min="15620" max="15620" width="15.5" style="3" customWidth="1"/>
    <col min="15621" max="15621" width="17.375" style="3" customWidth="1"/>
    <col min="15622" max="15622" width="10.875" style="3" bestFit="1" customWidth="1"/>
    <col min="15623" max="15623" width="11.125" style="3" bestFit="1" customWidth="1"/>
    <col min="15624" max="15624" width="13.875" style="3" bestFit="1" customWidth="1"/>
    <col min="15625" max="15872" width="9" style="3"/>
    <col min="15873" max="15873" width="13.625" style="3" customWidth="1"/>
    <col min="15874" max="15874" width="12.625" style="3" bestFit="1" customWidth="1"/>
    <col min="15875" max="15875" width="14.25" style="3" customWidth="1"/>
    <col min="15876" max="15876" width="15.5" style="3" customWidth="1"/>
    <col min="15877" max="15877" width="17.375" style="3" customWidth="1"/>
    <col min="15878" max="15878" width="10.875" style="3" bestFit="1" customWidth="1"/>
    <col min="15879" max="15879" width="11.125" style="3" bestFit="1" customWidth="1"/>
    <col min="15880" max="15880" width="13.875" style="3" bestFit="1" customWidth="1"/>
    <col min="15881" max="16128" width="9" style="3"/>
    <col min="16129" max="16129" width="13.625" style="3" customWidth="1"/>
    <col min="16130" max="16130" width="12.625" style="3" bestFit="1" customWidth="1"/>
    <col min="16131" max="16131" width="14.25" style="3" customWidth="1"/>
    <col min="16132" max="16132" width="15.5" style="3" customWidth="1"/>
    <col min="16133" max="16133" width="17.375" style="3" customWidth="1"/>
    <col min="16134" max="16134" width="10.875" style="3" bestFit="1" customWidth="1"/>
    <col min="16135" max="16135" width="11.125" style="3" bestFit="1" customWidth="1"/>
    <col min="16136" max="16136" width="13.875" style="3" bestFit="1" customWidth="1"/>
    <col min="16137" max="16384" width="9" style="3"/>
  </cols>
  <sheetData>
    <row r="1" spans="1:10" x14ac:dyDescent="0.25">
      <c r="A1" s="6" t="s">
        <v>0</v>
      </c>
      <c r="B1" s="7">
        <v>4000000</v>
      </c>
      <c r="C1" s="8"/>
      <c r="D1" s="1" t="s">
        <v>3</v>
      </c>
      <c r="E1" s="1" t="s">
        <v>6</v>
      </c>
      <c r="F1" s="1" t="s">
        <v>7</v>
      </c>
      <c r="G1" s="1" t="s">
        <v>8</v>
      </c>
      <c r="H1" s="2" t="s">
        <v>9</v>
      </c>
    </row>
    <row r="2" spans="1:10" x14ac:dyDescent="0.25">
      <c r="A2" s="6" t="s">
        <v>1</v>
      </c>
      <c r="B2" s="9">
        <v>2.3E-2</v>
      </c>
      <c r="C2" s="8"/>
      <c r="D2" s="14">
        <v>0</v>
      </c>
      <c r="E2" s="15"/>
      <c r="F2" s="15"/>
      <c r="G2" s="15"/>
      <c r="H2" s="16">
        <f>B1</f>
        <v>4000000</v>
      </c>
      <c r="I2" s="17"/>
      <c r="J2" s="17"/>
    </row>
    <row r="3" spans="1:10" x14ac:dyDescent="0.25">
      <c r="A3" s="6" t="s">
        <v>2</v>
      </c>
      <c r="B3" s="7">
        <v>20</v>
      </c>
      <c r="C3" s="8"/>
      <c r="D3" s="18">
        <f t="shared" ref="D3:D67" si="0">D2+1</f>
        <v>1</v>
      </c>
      <c r="E3" s="19">
        <f>$B$5-F3</f>
        <v>13141.879757414683</v>
      </c>
      <c r="F3" s="20">
        <f>H2*($B$2/12)</f>
        <v>7666.6666666666661</v>
      </c>
      <c r="G3" s="21">
        <f>E3+F3</f>
        <v>20808.546424081349</v>
      </c>
      <c r="H3" s="16">
        <f t="shared" ref="H3:H66" si="1">H2-E3</f>
        <v>3986858.1202425854</v>
      </c>
    </row>
    <row r="4" spans="1:10" x14ac:dyDescent="0.25">
      <c r="A4" s="6" t="s">
        <v>3</v>
      </c>
      <c r="B4" s="7">
        <f>B3*12</f>
        <v>240</v>
      </c>
      <c r="C4" s="8"/>
      <c r="D4" s="18">
        <f t="shared" si="0"/>
        <v>2</v>
      </c>
      <c r="E4" s="19">
        <f t="shared" ref="E4:E67" si="2">$B$5-F4</f>
        <v>13167.068360283061</v>
      </c>
      <c r="F4" s="20">
        <f t="shared" ref="F4:F67" si="3">H3*($B$2/12)</f>
        <v>7641.4780637982885</v>
      </c>
      <c r="G4" s="21">
        <f t="shared" ref="G4:G67" si="4">E4+F4</f>
        <v>20808.546424081349</v>
      </c>
      <c r="H4" s="16">
        <f t="shared" si="1"/>
        <v>3973691.0518823024</v>
      </c>
    </row>
    <row r="5" spans="1:10" x14ac:dyDescent="0.25">
      <c r="A5" s="6" t="s">
        <v>4</v>
      </c>
      <c r="B5" s="10">
        <f>PMT(B2/12,B4,-B1)</f>
        <v>20808.546424081349</v>
      </c>
      <c r="C5" s="8"/>
      <c r="D5" s="18">
        <f t="shared" si="0"/>
        <v>3</v>
      </c>
      <c r="E5" s="19">
        <f t="shared" si="2"/>
        <v>13192.305241306936</v>
      </c>
      <c r="F5" s="20">
        <f t="shared" si="3"/>
        <v>7616.2411827744127</v>
      </c>
      <c r="G5" s="21">
        <f t="shared" si="4"/>
        <v>20808.546424081349</v>
      </c>
      <c r="H5" s="16">
        <f t="shared" si="1"/>
        <v>3960498.7466409956</v>
      </c>
    </row>
    <row r="6" spans="1:10" x14ac:dyDescent="0.25">
      <c r="A6" s="6" t="s">
        <v>5</v>
      </c>
      <c r="B6" s="11">
        <f>SUM(F3:F242)</f>
        <v>994051.14177952451</v>
      </c>
      <c r="C6" s="8"/>
      <c r="D6" s="18">
        <f t="shared" si="0"/>
        <v>4</v>
      </c>
      <c r="E6" s="19">
        <f t="shared" si="2"/>
        <v>13217.590493019441</v>
      </c>
      <c r="F6" s="20">
        <f t="shared" si="3"/>
        <v>7590.9559310619079</v>
      </c>
      <c r="G6" s="21">
        <f t="shared" si="4"/>
        <v>20808.546424081349</v>
      </c>
      <c r="H6" s="16">
        <f t="shared" si="1"/>
        <v>3947281.1561479759</v>
      </c>
    </row>
    <row r="7" spans="1:10" x14ac:dyDescent="0.25">
      <c r="A7" s="4"/>
      <c r="B7" s="5"/>
      <c r="C7" s="8"/>
      <c r="D7" s="18">
        <f t="shared" si="0"/>
        <v>5</v>
      </c>
      <c r="E7" s="19">
        <f t="shared" si="2"/>
        <v>13242.924208131062</v>
      </c>
      <c r="F7" s="20">
        <f t="shared" si="3"/>
        <v>7565.6222159502868</v>
      </c>
      <c r="G7" s="21">
        <f t="shared" si="4"/>
        <v>20808.546424081349</v>
      </c>
      <c r="H7" s="16">
        <f t="shared" si="1"/>
        <v>3934038.2319398448</v>
      </c>
    </row>
    <row r="8" spans="1:10" ht="16.5" customHeight="1" x14ac:dyDescent="0.25">
      <c r="A8" s="12"/>
      <c r="B8" s="13"/>
      <c r="C8" s="8"/>
      <c r="D8" s="18">
        <f t="shared" si="0"/>
        <v>6</v>
      </c>
      <c r="E8" s="19">
        <f t="shared" si="2"/>
        <v>13268.30647952998</v>
      </c>
      <c r="F8" s="20">
        <f t="shared" si="3"/>
        <v>7540.2399445513684</v>
      </c>
      <c r="G8" s="21">
        <f t="shared" si="4"/>
        <v>20808.546424081349</v>
      </c>
      <c r="H8" s="16">
        <f t="shared" si="1"/>
        <v>3920769.9254603148</v>
      </c>
    </row>
    <row r="9" spans="1:10" ht="18.75" customHeight="1" x14ac:dyDescent="0.25">
      <c r="D9" s="18">
        <f t="shared" si="0"/>
        <v>7</v>
      </c>
      <c r="E9" s="19">
        <f t="shared" si="2"/>
        <v>13293.737400282413</v>
      </c>
      <c r="F9" s="20">
        <f t="shared" si="3"/>
        <v>7514.8090237989363</v>
      </c>
      <c r="G9" s="21">
        <f t="shared" si="4"/>
        <v>20808.546424081349</v>
      </c>
      <c r="H9" s="16">
        <f t="shared" si="1"/>
        <v>3907476.1880600322</v>
      </c>
    </row>
    <row r="10" spans="1:10" x14ac:dyDescent="0.25">
      <c r="D10" s="18">
        <f t="shared" si="0"/>
        <v>8</v>
      </c>
      <c r="E10" s="19">
        <f t="shared" si="2"/>
        <v>13319.217063632954</v>
      </c>
      <c r="F10" s="20">
        <f t="shared" si="3"/>
        <v>7489.3293604483943</v>
      </c>
      <c r="G10" s="21">
        <f t="shared" si="4"/>
        <v>20808.546424081349</v>
      </c>
      <c r="H10" s="16">
        <f t="shared" si="1"/>
        <v>3894156.9709963994</v>
      </c>
    </row>
    <row r="11" spans="1:10" x14ac:dyDescent="0.25">
      <c r="D11" s="18">
        <f t="shared" si="0"/>
        <v>9</v>
      </c>
      <c r="E11" s="19">
        <f t="shared" si="2"/>
        <v>13344.745563004917</v>
      </c>
      <c r="F11" s="20">
        <f t="shared" si="3"/>
        <v>7463.8008610764318</v>
      </c>
      <c r="G11" s="21">
        <f t="shared" si="4"/>
        <v>20808.546424081349</v>
      </c>
      <c r="H11" s="16">
        <f t="shared" si="1"/>
        <v>3880812.2254333943</v>
      </c>
    </row>
    <row r="12" spans="1:10" x14ac:dyDescent="0.25">
      <c r="D12" s="18">
        <f t="shared" si="0"/>
        <v>10</v>
      </c>
      <c r="E12" s="19">
        <f t="shared" si="2"/>
        <v>13370.322992000678</v>
      </c>
      <c r="F12" s="20">
        <f t="shared" si="3"/>
        <v>7438.223432080672</v>
      </c>
      <c r="G12" s="21">
        <f t="shared" si="4"/>
        <v>20808.546424081349</v>
      </c>
      <c r="H12" s="16">
        <f t="shared" si="1"/>
        <v>3867441.9024413936</v>
      </c>
    </row>
    <row r="13" spans="1:10" x14ac:dyDescent="0.25">
      <c r="D13" s="18">
        <f t="shared" si="0"/>
        <v>11</v>
      </c>
      <c r="E13" s="19">
        <f t="shared" si="2"/>
        <v>13395.949444402013</v>
      </c>
      <c r="F13" s="20">
        <f t="shared" si="3"/>
        <v>7412.596979679337</v>
      </c>
      <c r="G13" s="21">
        <f t="shared" si="4"/>
        <v>20808.546424081349</v>
      </c>
      <c r="H13" s="16">
        <f t="shared" si="1"/>
        <v>3854045.9529969916</v>
      </c>
    </row>
    <row r="14" spans="1:10" x14ac:dyDescent="0.25">
      <c r="D14" s="18">
        <f t="shared" si="0"/>
        <v>12</v>
      </c>
      <c r="E14" s="19">
        <f>$B$5-F14</f>
        <v>13421.625014170448</v>
      </c>
      <c r="F14" s="20">
        <f t="shared" si="3"/>
        <v>7386.9214099109004</v>
      </c>
      <c r="G14" s="21">
        <f t="shared" si="4"/>
        <v>20808.546424081349</v>
      </c>
      <c r="H14" s="16">
        <f t="shared" si="1"/>
        <v>3840624.327982821</v>
      </c>
    </row>
    <row r="15" spans="1:10" x14ac:dyDescent="0.25">
      <c r="D15" s="18">
        <f t="shared" si="0"/>
        <v>13</v>
      </c>
      <c r="E15" s="19">
        <f t="shared" si="2"/>
        <v>13447.349795447608</v>
      </c>
      <c r="F15" s="20">
        <f t="shared" si="3"/>
        <v>7361.1966286337401</v>
      </c>
      <c r="G15" s="21">
        <f t="shared" si="4"/>
        <v>20808.546424081349</v>
      </c>
      <c r="H15" s="16">
        <f t="shared" si="1"/>
        <v>3827176.9781873734</v>
      </c>
    </row>
    <row r="16" spans="1:10" x14ac:dyDescent="0.25">
      <c r="D16" s="18">
        <f t="shared" si="0"/>
        <v>14</v>
      </c>
      <c r="E16" s="19">
        <f t="shared" si="2"/>
        <v>13473.12388255555</v>
      </c>
      <c r="F16" s="20">
        <f t="shared" si="3"/>
        <v>7335.4225415257988</v>
      </c>
      <c r="G16" s="21">
        <f t="shared" si="4"/>
        <v>20808.546424081349</v>
      </c>
      <c r="H16" s="16">
        <f t="shared" si="1"/>
        <v>3813703.854304818</v>
      </c>
    </row>
    <row r="17" spans="4:8" x14ac:dyDescent="0.25">
      <c r="D17" s="18">
        <f t="shared" si="0"/>
        <v>15</v>
      </c>
      <c r="E17" s="19">
        <f t="shared" si="2"/>
        <v>13498.947369997115</v>
      </c>
      <c r="F17" s="20">
        <f t="shared" si="3"/>
        <v>7309.599054084234</v>
      </c>
      <c r="G17" s="21">
        <f t="shared" si="4"/>
        <v>20808.546424081349</v>
      </c>
      <c r="H17" s="16">
        <f t="shared" si="1"/>
        <v>3800204.906934821</v>
      </c>
    </row>
    <row r="18" spans="4:8" x14ac:dyDescent="0.25">
      <c r="D18" s="18">
        <f t="shared" si="0"/>
        <v>16</v>
      </c>
      <c r="E18" s="19">
        <f t="shared" si="2"/>
        <v>13524.820352456276</v>
      </c>
      <c r="F18" s="20">
        <f t="shared" si="3"/>
        <v>7283.726071625073</v>
      </c>
      <c r="G18" s="21">
        <f t="shared" si="4"/>
        <v>20808.546424081349</v>
      </c>
      <c r="H18" s="16">
        <f t="shared" si="1"/>
        <v>3786680.086582365</v>
      </c>
    </row>
    <row r="19" spans="4:8" x14ac:dyDescent="0.25">
      <c r="D19" s="18">
        <f t="shared" si="0"/>
        <v>17</v>
      </c>
      <c r="E19" s="19">
        <f t="shared" si="2"/>
        <v>13550.742924798484</v>
      </c>
      <c r="F19" s="20">
        <f t="shared" si="3"/>
        <v>7257.8034992828661</v>
      </c>
      <c r="G19" s="21">
        <f t="shared" si="4"/>
        <v>20808.546424081349</v>
      </c>
      <c r="H19" s="16">
        <f t="shared" si="1"/>
        <v>3773129.3436575667</v>
      </c>
    </row>
    <row r="20" spans="4:8" x14ac:dyDescent="0.25">
      <c r="D20" s="18">
        <f t="shared" si="0"/>
        <v>18</v>
      </c>
      <c r="E20" s="19">
        <f t="shared" si="2"/>
        <v>13576.715182071013</v>
      </c>
      <c r="F20" s="20">
        <f t="shared" si="3"/>
        <v>7231.8312420103357</v>
      </c>
      <c r="G20" s="21">
        <f t="shared" si="4"/>
        <v>20808.546424081349</v>
      </c>
      <c r="H20" s="16">
        <f t="shared" si="1"/>
        <v>3759552.6284754956</v>
      </c>
    </row>
    <row r="21" spans="4:8" x14ac:dyDescent="0.25">
      <c r="D21" s="18">
        <f t="shared" si="0"/>
        <v>19</v>
      </c>
      <c r="E21" s="19">
        <f t="shared" si="2"/>
        <v>13602.737219503317</v>
      </c>
      <c r="F21" s="20">
        <f t="shared" si="3"/>
        <v>7205.8092045780331</v>
      </c>
      <c r="G21" s="21">
        <f t="shared" si="4"/>
        <v>20808.546424081349</v>
      </c>
      <c r="H21" s="16">
        <f t="shared" si="1"/>
        <v>3745949.8912559925</v>
      </c>
    </row>
    <row r="22" spans="4:8" x14ac:dyDescent="0.25">
      <c r="D22" s="18">
        <f t="shared" si="0"/>
        <v>20</v>
      </c>
      <c r="E22" s="19">
        <f t="shared" si="2"/>
        <v>13628.809132507364</v>
      </c>
      <c r="F22" s="20">
        <f t="shared" si="3"/>
        <v>7179.7372915739852</v>
      </c>
      <c r="G22" s="21">
        <f t="shared" si="4"/>
        <v>20808.546424081349</v>
      </c>
      <c r="H22" s="16">
        <f t="shared" si="1"/>
        <v>3732321.0821234849</v>
      </c>
    </row>
    <row r="23" spans="4:8" x14ac:dyDescent="0.25">
      <c r="D23" s="18">
        <f t="shared" si="0"/>
        <v>21</v>
      </c>
      <c r="E23" s="19">
        <f t="shared" si="2"/>
        <v>13654.931016678003</v>
      </c>
      <c r="F23" s="20">
        <f t="shared" si="3"/>
        <v>7153.6154074033457</v>
      </c>
      <c r="G23" s="21">
        <f t="shared" si="4"/>
        <v>20808.546424081349</v>
      </c>
      <c r="H23" s="16">
        <f t="shared" si="1"/>
        <v>3718666.1511068069</v>
      </c>
    </row>
    <row r="24" spans="4:8" x14ac:dyDescent="0.25">
      <c r="D24" s="18">
        <f t="shared" si="0"/>
        <v>22</v>
      </c>
      <c r="E24" s="19">
        <f t="shared" si="2"/>
        <v>13681.102967793304</v>
      </c>
      <c r="F24" s="20">
        <f t="shared" si="3"/>
        <v>7127.443456288046</v>
      </c>
      <c r="G24" s="21">
        <f t="shared" si="4"/>
        <v>20808.546424081349</v>
      </c>
      <c r="H24" s="16">
        <f t="shared" si="1"/>
        <v>3704985.0481390138</v>
      </c>
    </row>
    <row r="25" spans="4:8" x14ac:dyDescent="0.25">
      <c r="D25" s="18">
        <f t="shared" si="0"/>
        <v>23</v>
      </c>
      <c r="E25" s="19">
        <f t="shared" si="2"/>
        <v>13707.325081814906</v>
      </c>
      <c r="F25" s="20">
        <f t="shared" si="3"/>
        <v>7101.2213422664427</v>
      </c>
      <c r="G25" s="21">
        <f t="shared" si="4"/>
        <v>20808.546424081349</v>
      </c>
      <c r="H25" s="16">
        <f t="shared" si="1"/>
        <v>3691277.7230571988</v>
      </c>
    </row>
    <row r="26" spans="4:8" x14ac:dyDescent="0.25">
      <c r="D26" s="18">
        <f t="shared" si="0"/>
        <v>24</v>
      </c>
      <c r="E26" s="19">
        <f t="shared" si="2"/>
        <v>13733.597454888386</v>
      </c>
      <c r="F26" s="20">
        <f t="shared" si="3"/>
        <v>7074.9489691929639</v>
      </c>
      <c r="G26" s="21">
        <f t="shared" si="4"/>
        <v>20808.546424081349</v>
      </c>
      <c r="H26" s="16">
        <f t="shared" si="1"/>
        <v>3677544.1256023105</v>
      </c>
    </row>
    <row r="27" spans="4:8" x14ac:dyDescent="0.25">
      <c r="D27" s="18">
        <f t="shared" si="0"/>
        <v>25</v>
      </c>
      <c r="E27" s="19">
        <f t="shared" si="2"/>
        <v>13759.920183343587</v>
      </c>
      <c r="F27" s="20">
        <f t="shared" si="3"/>
        <v>7048.6262407377617</v>
      </c>
      <c r="G27" s="21">
        <f t="shared" si="4"/>
        <v>20808.546424081349</v>
      </c>
      <c r="H27" s="16">
        <f t="shared" si="1"/>
        <v>3663784.2054189667</v>
      </c>
    </row>
    <row r="28" spans="4:8" x14ac:dyDescent="0.25">
      <c r="D28" s="18">
        <f t="shared" si="0"/>
        <v>26</v>
      </c>
      <c r="E28" s="19">
        <f t="shared" si="2"/>
        <v>13786.293363694997</v>
      </c>
      <c r="F28" s="20">
        <f t="shared" si="3"/>
        <v>7022.2530603863524</v>
      </c>
      <c r="G28" s="21">
        <f t="shared" si="4"/>
        <v>20808.546424081349</v>
      </c>
      <c r="H28" s="16">
        <f t="shared" si="1"/>
        <v>3649997.9120552717</v>
      </c>
    </row>
    <row r="29" spans="4:8" x14ac:dyDescent="0.25">
      <c r="D29" s="18">
        <f t="shared" si="0"/>
        <v>27</v>
      </c>
      <c r="E29" s="19">
        <f t="shared" si="2"/>
        <v>13812.717092642079</v>
      </c>
      <c r="F29" s="20">
        <f t="shared" si="3"/>
        <v>6995.8293314392704</v>
      </c>
      <c r="G29" s="21">
        <f t="shared" si="4"/>
        <v>20808.546424081349</v>
      </c>
      <c r="H29" s="16">
        <f t="shared" si="1"/>
        <v>3636185.1949626296</v>
      </c>
    </row>
    <row r="30" spans="4:8" x14ac:dyDescent="0.25">
      <c r="D30" s="18">
        <f t="shared" si="0"/>
        <v>28</v>
      </c>
      <c r="E30" s="19">
        <f t="shared" si="2"/>
        <v>13839.191467069642</v>
      </c>
      <c r="F30" s="20">
        <f t="shared" si="3"/>
        <v>6969.3549570117066</v>
      </c>
      <c r="G30" s="21">
        <f t="shared" si="4"/>
        <v>20808.546424081349</v>
      </c>
      <c r="H30" s="16">
        <f t="shared" si="1"/>
        <v>3622346.00349556</v>
      </c>
    </row>
    <row r="31" spans="4:8" x14ac:dyDescent="0.25">
      <c r="D31" s="18">
        <f t="shared" si="0"/>
        <v>29</v>
      </c>
      <c r="E31" s="19">
        <f t="shared" si="2"/>
        <v>13865.716584048194</v>
      </c>
      <c r="F31" s="20">
        <f t="shared" si="3"/>
        <v>6942.829840033156</v>
      </c>
      <c r="G31" s="21">
        <f t="shared" si="4"/>
        <v>20808.546424081349</v>
      </c>
      <c r="H31" s="16">
        <f t="shared" si="1"/>
        <v>3608480.2869115118</v>
      </c>
    </row>
    <row r="32" spans="4:8" x14ac:dyDescent="0.25">
      <c r="D32" s="18">
        <f t="shared" si="0"/>
        <v>30</v>
      </c>
      <c r="E32" s="19">
        <f t="shared" si="2"/>
        <v>13892.292540834285</v>
      </c>
      <c r="F32" s="20">
        <f t="shared" si="3"/>
        <v>6916.2538832470636</v>
      </c>
      <c r="G32" s="21">
        <f t="shared" si="4"/>
        <v>20808.546424081349</v>
      </c>
      <c r="H32" s="16">
        <f t="shared" si="1"/>
        <v>3594587.9943706775</v>
      </c>
    </row>
    <row r="33" spans="4:8" x14ac:dyDescent="0.25">
      <c r="D33" s="18">
        <f t="shared" si="0"/>
        <v>31</v>
      </c>
      <c r="E33" s="19">
        <f t="shared" si="2"/>
        <v>13918.919434870884</v>
      </c>
      <c r="F33" s="20">
        <f t="shared" si="3"/>
        <v>6889.6269892104647</v>
      </c>
      <c r="G33" s="21">
        <f t="shared" si="4"/>
        <v>20808.546424081349</v>
      </c>
      <c r="H33" s="16">
        <f t="shared" si="1"/>
        <v>3580669.0749358064</v>
      </c>
    </row>
    <row r="34" spans="4:8" x14ac:dyDescent="0.25">
      <c r="D34" s="18">
        <f t="shared" si="0"/>
        <v>32</v>
      </c>
      <c r="E34" s="19">
        <f t="shared" si="2"/>
        <v>13945.597363787721</v>
      </c>
      <c r="F34" s="20">
        <f t="shared" si="3"/>
        <v>6862.9490602936285</v>
      </c>
      <c r="G34" s="21">
        <f t="shared" si="4"/>
        <v>20808.546424081349</v>
      </c>
      <c r="H34" s="16">
        <f t="shared" si="1"/>
        <v>3566723.4775720187</v>
      </c>
    </row>
    <row r="35" spans="4:8" x14ac:dyDescent="0.25">
      <c r="D35" s="18">
        <f t="shared" si="0"/>
        <v>33</v>
      </c>
      <c r="E35" s="19">
        <f t="shared" si="2"/>
        <v>13972.326425401647</v>
      </c>
      <c r="F35" s="20">
        <f t="shared" si="3"/>
        <v>6836.2199986797023</v>
      </c>
      <c r="G35" s="21">
        <f t="shared" si="4"/>
        <v>20808.546424081349</v>
      </c>
      <c r="H35" s="16">
        <f t="shared" si="1"/>
        <v>3552751.1511466173</v>
      </c>
    </row>
    <row r="36" spans="4:8" x14ac:dyDescent="0.25">
      <c r="D36" s="18">
        <f t="shared" si="0"/>
        <v>34</v>
      </c>
      <c r="E36" s="19">
        <f t="shared" si="2"/>
        <v>13999.106717717001</v>
      </c>
      <c r="F36" s="20">
        <f t="shared" si="3"/>
        <v>6809.4397063643491</v>
      </c>
      <c r="G36" s="21">
        <f t="shared" si="4"/>
        <v>20808.546424081349</v>
      </c>
      <c r="H36" s="16">
        <f t="shared" si="1"/>
        <v>3538752.0444289003</v>
      </c>
    </row>
    <row r="37" spans="4:8" x14ac:dyDescent="0.25">
      <c r="D37" s="18">
        <f t="shared" si="0"/>
        <v>35</v>
      </c>
      <c r="E37" s="19">
        <f t="shared" si="2"/>
        <v>14025.938338925956</v>
      </c>
      <c r="F37" s="20">
        <f t="shared" si="3"/>
        <v>6782.6080851553916</v>
      </c>
      <c r="G37" s="21">
        <f t="shared" si="4"/>
        <v>20808.546424081349</v>
      </c>
      <c r="H37" s="16">
        <f t="shared" si="1"/>
        <v>3524726.1060899743</v>
      </c>
    </row>
    <row r="38" spans="4:8" x14ac:dyDescent="0.25">
      <c r="D38" s="18">
        <f t="shared" si="0"/>
        <v>36</v>
      </c>
      <c r="E38" s="19">
        <f t="shared" si="2"/>
        <v>14052.821387408898</v>
      </c>
      <c r="F38" s="20">
        <f t="shared" si="3"/>
        <v>6755.7250366724502</v>
      </c>
      <c r="G38" s="21">
        <f t="shared" si="4"/>
        <v>20808.546424081349</v>
      </c>
      <c r="H38" s="16">
        <f t="shared" si="1"/>
        <v>3510673.2847025655</v>
      </c>
    </row>
    <row r="39" spans="4:8" x14ac:dyDescent="0.25">
      <c r="D39" s="18">
        <f t="shared" si="0"/>
        <v>37</v>
      </c>
      <c r="E39" s="19">
        <f t="shared" si="2"/>
        <v>14079.755961734765</v>
      </c>
      <c r="F39" s="20">
        <f t="shared" si="3"/>
        <v>6728.7904623465838</v>
      </c>
      <c r="G39" s="21">
        <f t="shared" si="4"/>
        <v>20808.546424081349</v>
      </c>
      <c r="H39" s="16">
        <f t="shared" si="1"/>
        <v>3496593.5287408307</v>
      </c>
    </row>
    <row r="40" spans="4:8" x14ac:dyDescent="0.25">
      <c r="D40" s="18">
        <f t="shared" si="0"/>
        <v>38</v>
      </c>
      <c r="E40" s="19">
        <f t="shared" si="2"/>
        <v>14106.742160661423</v>
      </c>
      <c r="F40" s="20">
        <f t="shared" si="3"/>
        <v>6701.8042634199255</v>
      </c>
      <c r="G40" s="21">
        <f t="shared" si="4"/>
        <v>20808.546424081349</v>
      </c>
      <c r="H40" s="16">
        <f t="shared" si="1"/>
        <v>3482486.7865801691</v>
      </c>
    </row>
    <row r="41" spans="4:8" x14ac:dyDescent="0.25">
      <c r="D41" s="18">
        <f t="shared" si="0"/>
        <v>39</v>
      </c>
      <c r="E41" s="19">
        <f t="shared" si="2"/>
        <v>14133.780083136025</v>
      </c>
      <c r="F41" s="20">
        <f t="shared" si="3"/>
        <v>6674.7663409453235</v>
      </c>
      <c r="G41" s="21">
        <f t="shared" si="4"/>
        <v>20808.546424081349</v>
      </c>
      <c r="H41" s="16">
        <f t="shared" si="1"/>
        <v>3468353.0064970329</v>
      </c>
    </row>
    <row r="42" spans="4:8" x14ac:dyDescent="0.25">
      <c r="D42" s="18">
        <f t="shared" si="0"/>
        <v>40</v>
      </c>
      <c r="E42" s="19">
        <f t="shared" si="2"/>
        <v>14160.86982829537</v>
      </c>
      <c r="F42" s="20">
        <f t="shared" si="3"/>
        <v>6647.6765957859798</v>
      </c>
      <c r="G42" s="21">
        <f t="shared" si="4"/>
        <v>20808.546424081349</v>
      </c>
      <c r="H42" s="16">
        <f t="shared" si="1"/>
        <v>3454192.1366687375</v>
      </c>
    </row>
    <row r="43" spans="4:8" x14ac:dyDescent="0.25">
      <c r="D43" s="18">
        <f t="shared" si="0"/>
        <v>41</v>
      </c>
      <c r="E43" s="19">
        <f t="shared" si="2"/>
        <v>14188.011495466269</v>
      </c>
      <c r="F43" s="20">
        <f t="shared" si="3"/>
        <v>6620.5349286150795</v>
      </c>
      <c r="G43" s="21">
        <f t="shared" si="4"/>
        <v>20808.546424081349</v>
      </c>
      <c r="H43" s="16">
        <f t="shared" si="1"/>
        <v>3440004.1251732712</v>
      </c>
    </row>
    <row r="44" spans="4:8" x14ac:dyDescent="0.25">
      <c r="D44" s="18">
        <f t="shared" si="0"/>
        <v>42</v>
      </c>
      <c r="E44" s="19">
        <f t="shared" si="2"/>
        <v>14215.205184165912</v>
      </c>
      <c r="F44" s="20">
        <f t="shared" si="3"/>
        <v>6593.3412399154358</v>
      </c>
      <c r="G44" s="21">
        <f t="shared" si="4"/>
        <v>20808.546424081349</v>
      </c>
      <c r="H44" s="16">
        <f t="shared" si="1"/>
        <v>3425788.9199891053</v>
      </c>
    </row>
    <row r="45" spans="4:8" x14ac:dyDescent="0.25">
      <c r="D45" s="18">
        <f t="shared" si="0"/>
        <v>43</v>
      </c>
      <c r="E45" s="19">
        <f t="shared" si="2"/>
        <v>14242.45099410223</v>
      </c>
      <c r="F45" s="20">
        <f t="shared" si="3"/>
        <v>6566.0954299791183</v>
      </c>
      <c r="G45" s="21">
        <f t="shared" si="4"/>
        <v>20808.546424081349</v>
      </c>
      <c r="H45" s="16">
        <f t="shared" si="1"/>
        <v>3411546.468995003</v>
      </c>
    </row>
    <row r="46" spans="4:8" x14ac:dyDescent="0.25">
      <c r="D46" s="18">
        <f t="shared" si="0"/>
        <v>44</v>
      </c>
      <c r="E46" s="19">
        <f t="shared" si="2"/>
        <v>14269.74902517426</v>
      </c>
      <c r="F46" s="20">
        <f t="shared" si="3"/>
        <v>6538.7973989070888</v>
      </c>
      <c r="G46" s="21">
        <f t="shared" si="4"/>
        <v>20808.546424081349</v>
      </c>
      <c r="H46" s="16">
        <f t="shared" si="1"/>
        <v>3397276.7199698286</v>
      </c>
    </row>
    <row r="47" spans="4:8" x14ac:dyDescent="0.25">
      <c r="D47" s="18">
        <f t="shared" si="0"/>
        <v>45</v>
      </c>
      <c r="E47" s="19">
        <f t="shared" si="2"/>
        <v>14297.09937747251</v>
      </c>
      <c r="F47" s="20">
        <f t="shared" si="3"/>
        <v>6511.4470466088378</v>
      </c>
      <c r="G47" s="21">
        <f t="shared" si="4"/>
        <v>20808.546424081349</v>
      </c>
      <c r="H47" s="16">
        <f t="shared" si="1"/>
        <v>3382979.6205923562</v>
      </c>
    </row>
    <row r="48" spans="4:8" x14ac:dyDescent="0.25">
      <c r="D48" s="18">
        <f t="shared" si="0"/>
        <v>46</v>
      </c>
      <c r="E48" s="19">
        <f t="shared" si="2"/>
        <v>14324.502151279334</v>
      </c>
      <c r="F48" s="20">
        <f t="shared" si="3"/>
        <v>6484.0442728020153</v>
      </c>
      <c r="G48" s="21">
        <f t="shared" si="4"/>
        <v>20808.546424081349</v>
      </c>
      <c r="H48" s="16">
        <f t="shared" si="1"/>
        <v>3368655.1184410769</v>
      </c>
    </row>
    <row r="49" spans="4:8" x14ac:dyDescent="0.25">
      <c r="D49" s="18">
        <f t="shared" si="0"/>
        <v>47</v>
      </c>
      <c r="E49" s="19">
        <f t="shared" si="2"/>
        <v>14351.957447069286</v>
      </c>
      <c r="F49" s="20">
        <f t="shared" si="3"/>
        <v>6456.5889770120639</v>
      </c>
      <c r="G49" s="21">
        <f t="shared" si="4"/>
        <v>20808.546424081349</v>
      </c>
      <c r="H49" s="16">
        <f t="shared" si="1"/>
        <v>3354303.1609940077</v>
      </c>
    </row>
    <row r="50" spans="4:8" x14ac:dyDescent="0.25">
      <c r="D50" s="18">
        <f t="shared" si="0"/>
        <v>48</v>
      </c>
      <c r="E50" s="19">
        <f t="shared" si="2"/>
        <v>14379.465365509501</v>
      </c>
      <c r="F50" s="20">
        <f t="shared" si="3"/>
        <v>6429.0810585718482</v>
      </c>
      <c r="G50" s="21">
        <f t="shared" si="4"/>
        <v>20808.546424081349</v>
      </c>
      <c r="H50" s="16">
        <f t="shared" si="1"/>
        <v>3339923.6956284982</v>
      </c>
    </row>
    <row r="51" spans="4:8" x14ac:dyDescent="0.25">
      <c r="D51" s="18">
        <f t="shared" si="0"/>
        <v>49</v>
      </c>
      <c r="E51" s="19">
        <f t="shared" si="2"/>
        <v>14407.026007460061</v>
      </c>
      <c r="F51" s="20">
        <f t="shared" si="3"/>
        <v>6401.5204166212879</v>
      </c>
      <c r="G51" s="21">
        <f t="shared" si="4"/>
        <v>20808.546424081349</v>
      </c>
      <c r="H51" s="16">
        <f t="shared" si="1"/>
        <v>3325516.6696210383</v>
      </c>
    </row>
    <row r="52" spans="4:8" x14ac:dyDescent="0.25">
      <c r="D52" s="18">
        <f t="shared" si="0"/>
        <v>50</v>
      </c>
      <c r="E52" s="19">
        <f t="shared" si="2"/>
        <v>14434.639473974359</v>
      </c>
      <c r="F52" s="20">
        <f t="shared" si="3"/>
        <v>6373.9069501069898</v>
      </c>
      <c r="G52" s="21">
        <f t="shared" si="4"/>
        <v>20808.546424081349</v>
      </c>
      <c r="H52" s="16">
        <f t="shared" si="1"/>
        <v>3311082.030147064</v>
      </c>
    </row>
    <row r="53" spans="4:8" x14ac:dyDescent="0.25">
      <c r="D53" s="18">
        <f t="shared" si="0"/>
        <v>51</v>
      </c>
      <c r="E53" s="19">
        <f t="shared" si="2"/>
        <v>14462.305866299477</v>
      </c>
      <c r="F53" s="20">
        <f t="shared" si="3"/>
        <v>6346.2405577818727</v>
      </c>
      <c r="G53" s="21">
        <f t="shared" si="4"/>
        <v>20808.546424081349</v>
      </c>
      <c r="H53" s="16">
        <f t="shared" si="1"/>
        <v>3296619.7242807643</v>
      </c>
    </row>
    <row r="54" spans="4:8" x14ac:dyDescent="0.25">
      <c r="D54" s="18">
        <f t="shared" si="0"/>
        <v>52</v>
      </c>
      <c r="E54" s="19">
        <f t="shared" si="2"/>
        <v>14490.025285876551</v>
      </c>
      <c r="F54" s="20">
        <f t="shared" si="3"/>
        <v>6318.5211382047983</v>
      </c>
      <c r="G54" s="21">
        <f t="shared" si="4"/>
        <v>20808.546424081349</v>
      </c>
      <c r="H54" s="16">
        <f t="shared" si="1"/>
        <v>3282129.698994888</v>
      </c>
    </row>
    <row r="55" spans="4:8" x14ac:dyDescent="0.25">
      <c r="D55" s="18">
        <f t="shared" si="0"/>
        <v>53</v>
      </c>
      <c r="E55" s="19">
        <f t="shared" si="2"/>
        <v>14517.797834341147</v>
      </c>
      <c r="F55" s="20">
        <f t="shared" si="3"/>
        <v>6290.7485897402021</v>
      </c>
      <c r="G55" s="21">
        <f t="shared" si="4"/>
        <v>20808.546424081349</v>
      </c>
      <c r="H55" s="16">
        <f t="shared" si="1"/>
        <v>3267611.901160547</v>
      </c>
    </row>
    <row r="56" spans="4:8" x14ac:dyDescent="0.25">
      <c r="D56" s="18">
        <f t="shared" si="0"/>
        <v>54</v>
      </c>
      <c r="E56" s="19">
        <f t="shared" si="2"/>
        <v>14545.623613523634</v>
      </c>
      <c r="F56" s="20">
        <f t="shared" si="3"/>
        <v>6262.9228105577149</v>
      </c>
      <c r="G56" s="21">
        <f t="shared" si="4"/>
        <v>20808.546424081349</v>
      </c>
      <c r="H56" s="16">
        <f t="shared" si="1"/>
        <v>3253066.2775470233</v>
      </c>
    </row>
    <row r="57" spans="4:8" x14ac:dyDescent="0.25">
      <c r="D57" s="18">
        <f t="shared" si="0"/>
        <v>55</v>
      </c>
      <c r="E57" s="19">
        <f t="shared" si="2"/>
        <v>14573.502725449554</v>
      </c>
      <c r="F57" s="20">
        <f t="shared" si="3"/>
        <v>6235.0436986317945</v>
      </c>
      <c r="G57" s="21">
        <f t="shared" si="4"/>
        <v>20808.546424081349</v>
      </c>
      <c r="H57" s="16">
        <f t="shared" si="1"/>
        <v>3238492.7748215739</v>
      </c>
    </row>
    <row r="58" spans="4:8" x14ac:dyDescent="0.25">
      <c r="D58" s="18">
        <f t="shared" si="0"/>
        <v>56</v>
      </c>
      <c r="E58" s="19">
        <f t="shared" si="2"/>
        <v>14601.435272340001</v>
      </c>
      <c r="F58" s="20">
        <f t="shared" si="3"/>
        <v>6207.1111517413492</v>
      </c>
      <c r="G58" s="21">
        <f t="shared" si="4"/>
        <v>20808.546424081349</v>
      </c>
      <c r="H58" s="16">
        <f t="shared" si="1"/>
        <v>3223891.3395492337</v>
      </c>
    </row>
    <row r="59" spans="4:8" x14ac:dyDescent="0.25">
      <c r="D59" s="18">
        <f t="shared" si="0"/>
        <v>57</v>
      </c>
      <c r="E59" s="19">
        <f t="shared" si="2"/>
        <v>14629.421356611985</v>
      </c>
      <c r="F59" s="20">
        <f t="shared" si="3"/>
        <v>6179.1250674693638</v>
      </c>
      <c r="G59" s="21">
        <f t="shared" si="4"/>
        <v>20808.546424081349</v>
      </c>
      <c r="H59" s="16">
        <f t="shared" si="1"/>
        <v>3209261.9181926218</v>
      </c>
    </row>
    <row r="60" spans="4:8" x14ac:dyDescent="0.25">
      <c r="D60" s="18">
        <f t="shared" si="0"/>
        <v>58</v>
      </c>
      <c r="E60" s="19">
        <f t="shared" si="2"/>
        <v>14657.461080878824</v>
      </c>
      <c r="F60" s="20">
        <f t="shared" si="3"/>
        <v>6151.0853432025251</v>
      </c>
      <c r="G60" s="21">
        <f t="shared" si="4"/>
        <v>20808.546424081349</v>
      </c>
      <c r="H60" s="16">
        <f t="shared" si="1"/>
        <v>3194604.4571117428</v>
      </c>
    </row>
    <row r="61" spans="4:8" x14ac:dyDescent="0.25">
      <c r="D61" s="18">
        <f t="shared" si="0"/>
        <v>59</v>
      </c>
      <c r="E61" s="19">
        <f t="shared" si="2"/>
        <v>14685.554547950509</v>
      </c>
      <c r="F61" s="20">
        <f t="shared" si="3"/>
        <v>6122.99187613084</v>
      </c>
      <c r="G61" s="21">
        <f t="shared" si="4"/>
        <v>20808.546424081349</v>
      </c>
      <c r="H61" s="16">
        <f t="shared" si="1"/>
        <v>3179918.9025637922</v>
      </c>
    </row>
    <row r="62" spans="4:8" x14ac:dyDescent="0.25">
      <c r="D62" s="18">
        <f t="shared" si="0"/>
        <v>60</v>
      </c>
      <c r="E62" s="19">
        <f t="shared" si="2"/>
        <v>14713.70186083408</v>
      </c>
      <c r="F62" s="20">
        <f t="shared" si="3"/>
        <v>6094.8445632472676</v>
      </c>
      <c r="G62" s="21">
        <f t="shared" si="4"/>
        <v>20808.546424081349</v>
      </c>
      <c r="H62" s="16">
        <f t="shared" si="1"/>
        <v>3165205.2007029583</v>
      </c>
    </row>
    <row r="63" spans="4:8" x14ac:dyDescent="0.25">
      <c r="D63" s="18">
        <f t="shared" si="0"/>
        <v>61</v>
      </c>
      <c r="E63" s="19">
        <f t="shared" si="2"/>
        <v>14741.903122734013</v>
      </c>
      <c r="F63" s="20">
        <f t="shared" si="3"/>
        <v>6066.6433013473361</v>
      </c>
      <c r="G63" s="21">
        <f t="shared" si="4"/>
        <v>20808.546424081349</v>
      </c>
      <c r="H63" s="16">
        <f t="shared" si="1"/>
        <v>3150463.2975802245</v>
      </c>
    </row>
    <row r="64" spans="4:8" x14ac:dyDescent="0.25">
      <c r="D64" s="18">
        <f t="shared" si="0"/>
        <v>62</v>
      </c>
      <c r="E64" s="19">
        <f t="shared" si="2"/>
        <v>14770.158437052585</v>
      </c>
      <c r="F64" s="20">
        <f t="shared" si="3"/>
        <v>6038.3879870287628</v>
      </c>
      <c r="G64" s="21">
        <f t="shared" si="4"/>
        <v>20808.546424081349</v>
      </c>
      <c r="H64" s="16">
        <f t="shared" si="1"/>
        <v>3135693.1391431717</v>
      </c>
    </row>
    <row r="65" spans="4:8" x14ac:dyDescent="0.25">
      <c r="D65" s="18">
        <f t="shared" si="0"/>
        <v>63</v>
      </c>
      <c r="E65" s="19">
        <f t="shared" si="2"/>
        <v>14798.46790739027</v>
      </c>
      <c r="F65" s="20">
        <f t="shared" si="3"/>
        <v>6010.0785166910791</v>
      </c>
      <c r="G65" s="21">
        <f t="shared" si="4"/>
        <v>20808.546424081349</v>
      </c>
      <c r="H65" s="16">
        <f t="shared" si="1"/>
        <v>3120894.6712357816</v>
      </c>
    </row>
    <row r="66" spans="4:8" x14ac:dyDescent="0.25">
      <c r="D66" s="18">
        <f t="shared" si="0"/>
        <v>64</v>
      </c>
      <c r="E66" s="19">
        <f t="shared" si="2"/>
        <v>14826.8316375461</v>
      </c>
      <c r="F66" s="20">
        <f t="shared" si="3"/>
        <v>5981.7147865352481</v>
      </c>
      <c r="G66" s="21">
        <f t="shared" si="4"/>
        <v>20808.546424081349</v>
      </c>
      <c r="H66" s="16">
        <f t="shared" si="1"/>
        <v>3106067.8395982357</v>
      </c>
    </row>
    <row r="67" spans="4:8" x14ac:dyDescent="0.25">
      <c r="D67" s="18">
        <f t="shared" si="0"/>
        <v>65</v>
      </c>
      <c r="E67" s="19">
        <f t="shared" si="2"/>
        <v>14855.249731518064</v>
      </c>
      <c r="F67" s="20">
        <f t="shared" si="3"/>
        <v>5953.2966925632845</v>
      </c>
      <c r="G67" s="21">
        <f t="shared" si="4"/>
        <v>20808.546424081349</v>
      </c>
      <c r="H67" s="16">
        <f t="shared" ref="H67:H130" si="5">H66-E67</f>
        <v>3091212.5898667178</v>
      </c>
    </row>
    <row r="68" spans="4:8" x14ac:dyDescent="0.25">
      <c r="D68" s="18">
        <f t="shared" ref="D68:D131" si="6">D67+1</f>
        <v>66</v>
      </c>
      <c r="E68" s="19">
        <f t="shared" ref="E68:E131" si="7">$B$5-F68</f>
        <v>14883.722293503473</v>
      </c>
      <c r="F68" s="20">
        <f t="shared" ref="F68:F131" si="8">H67*($B$2/12)</f>
        <v>5924.8241305778756</v>
      </c>
      <c r="G68" s="21">
        <f t="shared" ref="G68:G131" si="9">E68+F68</f>
        <v>20808.546424081349</v>
      </c>
      <c r="H68" s="16">
        <f t="shared" si="5"/>
        <v>3076328.8675732142</v>
      </c>
    </row>
    <row r="69" spans="4:8" x14ac:dyDescent="0.25">
      <c r="D69" s="18">
        <f t="shared" si="6"/>
        <v>67</v>
      </c>
      <c r="E69" s="19">
        <f t="shared" si="7"/>
        <v>14912.249427899354</v>
      </c>
      <c r="F69" s="20">
        <f t="shared" si="8"/>
        <v>5896.2969961819936</v>
      </c>
      <c r="G69" s="21">
        <f t="shared" si="9"/>
        <v>20808.546424081349</v>
      </c>
      <c r="H69" s="16">
        <f t="shared" si="5"/>
        <v>3061416.618145315</v>
      </c>
    </row>
    <row r="70" spans="4:8" x14ac:dyDescent="0.25">
      <c r="D70" s="18">
        <f t="shared" si="6"/>
        <v>68</v>
      </c>
      <c r="E70" s="19">
        <f t="shared" si="7"/>
        <v>14940.831239302828</v>
      </c>
      <c r="F70" s="20">
        <f t="shared" si="8"/>
        <v>5867.7151847785199</v>
      </c>
      <c r="G70" s="21">
        <f t="shared" si="9"/>
        <v>20808.546424081349</v>
      </c>
      <c r="H70" s="16">
        <f t="shared" si="5"/>
        <v>3046475.7869060123</v>
      </c>
    </row>
    <row r="71" spans="4:8" x14ac:dyDescent="0.25">
      <c r="D71" s="18">
        <f t="shared" si="6"/>
        <v>69</v>
      </c>
      <c r="E71" s="19">
        <f t="shared" si="7"/>
        <v>14969.467832511491</v>
      </c>
      <c r="F71" s="20">
        <f t="shared" si="8"/>
        <v>5839.0785915698571</v>
      </c>
      <c r="G71" s="21">
        <f t="shared" si="9"/>
        <v>20808.546424081349</v>
      </c>
      <c r="H71" s="16">
        <f t="shared" si="5"/>
        <v>3031506.319073501</v>
      </c>
    </row>
    <row r="72" spans="4:8" x14ac:dyDescent="0.25">
      <c r="D72" s="18">
        <f t="shared" si="6"/>
        <v>70</v>
      </c>
      <c r="E72" s="19">
        <f t="shared" si="7"/>
        <v>14998.159312523807</v>
      </c>
      <c r="F72" s="20">
        <f t="shared" si="8"/>
        <v>5810.387111557543</v>
      </c>
      <c r="G72" s="21">
        <f t="shared" si="9"/>
        <v>20808.546424081349</v>
      </c>
      <c r="H72" s="16">
        <f t="shared" si="5"/>
        <v>3016508.1597609771</v>
      </c>
    </row>
    <row r="73" spans="4:8" x14ac:dyDescent="0.25">
      <c r="D73" s="18">
        <f t="shared" si="6"/>
        <v>71</v>
      </c>
      <c r="E73" s="19">
        <f t="shared" si="7"/>
        <v>15026.905784539476</v>
      </c>
      <c r="F73" s="20">
        <f t="shared" si="8"/>
        <v>5781.6406395418726</v>
      </c>
      <c r="G73" s="21">
        <f t="shared" si="9"/>
        <v>20808.546424081349</v>
      </c>
      <c r="H73" s="16">
        <f t="shared" si="5"/>
        <v>3001481.2539764377</v>
      </c>
    </row>
    <row r="74" spans="4:8" x14ac:dyDescent="0.25">
      <c r="D74" s="18">
        <f t="shared" si="6"/>
        <v>72</v>
      </c>
      <c r="E74" s="19">
        <f t="shared" si="7"/>
        <v>15055.707353959842</v>
      </c>
      <c r="F74" s="20">
        <f t="shared" si="8"/>
        <v>5752.8390701215058</v>
      </c>
      <c r="G74" s="21">
        <f t="shared" si="9"/>
        <v>20808.546424081349</v>
      </c>
      <c r="H74" s="16">
        <f t="shared" si="5"/>
        <v>2986425.5466224779</v>
      </c>
    </row>
    <row r="75" spans="4:8" x14ac:dyDescent="0.25">
      <c r="D75" s="18">
        <f t="shared" si="6"/>
        <v>73</v>
      </c>
      <c r="E75" s="19">
        <f t="shared" si="7"/>
        <v>15084.564126388266</v>
      </c>
      <c r="F75" s="20">
        <f t="shared" si="8"/>
        <v>5723.9822976930827</v>
      </c>
      <c r="G75" s="21">
        <f t="shared" si="9"/>
        <v>20808.546424081349</v>
      </c>
      <c r="H75" s="16">
        <f t="shared" si="5"/>
        <v>2971340.9824960898</v>
      </c>
    </row>
    <row r="76" spans="4:8" x14ac:dyDescent="0.25">
      <c r="D76" s="18">
        <f t="shared" si="6"/>
        <v>74</v>
      </c>
      <c r="E76" s="19">
        <f t="shared" si="7"/>
        <v>15113.476207630511</v>
      </c>
      <c r="F76" s="20">
        <f t="shared" si="8"/>
        <v>5695.0702164508384</v>
      </c>
      <c r="G76" s="21">
        <f t="shared" si="9"/>
        <v>20808.546424081349</v>
      </c>
      <c r="H76" s="16">
        <f t="shared" si="5"/>
        <v>2956227.5062884591</v>
      </c>
    </row>
    <row r="77" spans="4:8" x14ac:dyDescent="0.25">
      <c r="D77" s="18">
        <f t="shared" si="6"/>
        <v>75</v>
      </c>
      <c r="E77" s="19">
        <f t="shared" si="7"/>
        <v>15142.443703695135</v>
      </c>
      <c r="F77" s="20">
        <f t="shared" si="8"/>
        <v>5666.1027203862132</v>
      </c>
      <c r="G77" s="21">
        <f t="shared" si="9"/>
        <v>20808.546424081349</v>
      </c>
      <c r="H77" s="16">
        <f t="shared" si="5"/>
        <v>2941085.0625847639</v>
      </c>
    </row>
    <row r="78" spans="4:8" x14ac:dyDescent="0.25">
      <c r="D78" s="18">
        <f t="shared" si="6"/>
        <v>76</v>
      </c>
      <c r="E78" s="19">
        <f t="shared" si="7"/>
        <v>15171.466720793886</v>
      </c>
      <c r="F78" s="20">
        <f t="shared" si="8"/>
        <v>5637.0797032874634</v>
      </c>
      <c r="G78" s="21">
        <f t="shared" si="9"/>
        <v>20808.546424081349</v>
      </c>
      <c r="H78" s="16">
        <f t="shared" si="5"/>
        <v>2925913.59586397</v>
      </c>
    </row>
    <row r="79" spans="4:8" x14ac:dyDescent="0.25">
      <c r="D79" s="18">
        <f t="shared" si="6"/>
        <v>77</v>
      </c>
      <c r="E79" s="19">
        <f t="shared" si="7"/>
        <v>15200.545365342074</v>
      </c>
      <c r="F79" s="20">
        <f t="shared" si="8"/>
        <v>5608.0010587392753</v>
      </c>
      <c r="G79" s="21">
        <f t="shared" si="9"/>
        <v>20808.546424081349</v>
      </c>
      <c r="H79" s="16">
        <f t="shared" si="5"/>
        <v>2910713.0504986281</v>
      </c>
    </row>
    <row r="80" spans="4:8" x14ac:dyDescent="0.25">
      <c r="D80" s="18">
        <f t="shared" si="6"/>
        <v>78</v>
      </c>
      <c r="E80" s="19">
        <f t="shared" si="7"/>
        <v>15229.679743958979</v>
      </c>
      <c r="F80" s="20">
        <f t="shared" si="8"/>
        <v>5578.8666801223699</v>
      </c>
      <c r="G80" s="21">
        <f t="shared" si="9"/>
        <v>20808.546424081349</v>
      </c>
      <c r="H80" s="16">
        <f t="shared" si="5"/>
        <v>2895483.370754669</v>
      </c>
    </row>
    <row r="81" spans="4:8" x14ac:dyDescent="0.25">
      <c r="D81" s="18">
        <f t="shared" si="6"/>
        <v>79</v>
      </c>
      <c r="E81" s="19">
        <f t="shared" si="7"/>
        <v>15258.869963468234</v>
      </c>
      <c r="F81" s="20">
        <f t="shared" si="8"/>
        <v>5549.6764606131155</v>
      </c>
      <c r="G81" s="21">
        <f t="shared" si="9"/>
        <v>20808.546424081349</v>
      </c>
      <c r="H81" s="16">
        <f t="shared" si="5"/>
        <v>2880224.5007912009</v>
      </c>
    </row>
    <row r="82" spans="4:8" x14ac:dyDescent="0.25">
      <c r="D82" s="18">
        <f t="shared" si="6"/>
        <v>80</v>
      </c>
      <c r="E82" s="19">
        <f t="shared" si="7"/>
        <v>15288.116130898215</v>
      </c>
      <c r="F82" s="20">
        <f t="shared" si="8"/>
        <v>5520.4302931831344</v>
      </c>
      <c r="G82" s="21">
        <f t="shared" si="9"/>
        <v>20808.546424081349</v>
      </c>
      <c r="H82" s="16">
        <f t="shared" si="5"/>
        <v>2864936.3846603027</v>
      </c>
    </row>
    <row r="83" spans="4:8" x14ac:dyDescent="0.25">
      <c r="D83" s="18">
        <f t="shared" si="6"/>
        <v>81</v>
      </c>
      <c r="E83" s="19">
        <f t="shared" si="7"/>
        <v>15317.418353482437</v>
      </c>
      <c r="F83" s="20">
        <f t="shared" si="8"/>
        <v>5491.1280705989129</v>
      </c>
      <c r="G83" s="21">
        <f t="shared" si="9"/>
        <v>20808.546424081349</v>
      </c>
      <c r="H83" s="16">
        <f t="shared" si="5"/>
        <v>2849618.96630682</v>
      </c>
    </row>
    <row r="84" spans="4:8" x14ac:dyDescent="0.25">
      <c r="D84" s="18">
        <f t="shared" si="6"/>
        <v>82</v>
      </c>
      <c r="E84" s="19">
        <f t="shared" si="7"/>
        <v>15346.776738659944</v>
      </c>
      <c r="F84" s="20">
        <f t="shared" si="8"/>
        <v>5461.7696854214046</v>
      </c>
      <c r="G84" s="21">
        <f t="shared" si="9"/>
        <v>20808.546424081349</v>
      </c>
      <c r="H84" s="16">
        <f t="shared" si="5"/>
        <v>2834272.1895681601</v>
      </c>
    </row>
    <row r="85" spans="4:8" x14ac:dyDescent="0.25">
      <c r="D85" s="18">
        <f t="shared" si="6"/>
        <v>83</v>
      </c>
      <c r="E85" s="19">
        <f t="shared" si="7"/>
        <v>15376.191394075709</v>
      </c>
      <c r="F85" s="20">
        <f t="shared" si="8"/>
        <v>5432.3550300056395</v>
      </c>
      <c r="G85" s="21">
        <f t="shared" si="9"/>
        <v>20808.546424081349</v>
      </c>
      <c r="H85" s="16">
        <f t="shared" si="5"/>
        <v>2818895.9981740844</v>
      </c>
    </row>
    <row r="86" spans="4:8" x14ac:dyDescent="0.25">
      <c r="D86" s="18">
        <f t="shared" si="6"/>
        <v>84</v>
      </c>
      <c r="E86" s="19">
        <f t="shared" si="7"/>
        <v>15405.662427581021</v>
      </c>
      <c r="F86" s="20">
        <f t="shared" si="8"/>
        <v>5402.8839965003281</v>
      </c>
      <c r="G86" s="21">
        <f t="shared" si="9"/>
        <v>20808.546424081349</v>
      </c>
      <c r="H86" s="16">
        <f t="shared" si="5"/>
        <v>2803490.3357465034</v>
      </c>
    </row>
    <row r="87" spans="4:8" x14ac:dyDescent="0.25">
      <c r="D87" s="18">
        <f t="shared" si="6"/>
        <v>85</v>
      </c>
      <c r="E87" s="19">
        <f t="shared" si="7"/>
        <v>15435.189947233885</v>
      </c>
      <c r="F87" s="20">
        <f t="shared" si="8"/>
        <v>5373.3564768474644</v>
      </c>
      <c r="G87" s="21">
        <f t="shared" si="9"/>
        <v>20808.546424081349</v>
      </c>
      <c r="H87" s="16">
        <f t="shared" si="5"/>
        <v>2788055.1457992694</v>
      </c>
    </row>
    <row r="88" spans="4:8" x14ac:dyDescent="0.25">
      <c r="D88" s="18">
        <f t="shared" si="6"/>
        <v>86</v>
      </c>
      <c r="E88" s="19">
        <f t="shared" si="7"/>
        <v>15464.774061299417</v>
      </c>
      <c r="F88" s="20">
        <f t="shared" si="8"/>
        <v>5343.7723627819332</v>
      </c>
      <c r="G88" s="21">
        <f t="shared" si="9"/>
        <v>20808.546424081349</v>
      </c>
      <c r="H88" s="16">
        <f t="shared" si="5"/>
        <v>2772590.37173797</v>
      </c>
    </row>
    <row r="89" spans="4:8" x14ac:dyDescent="0.25">
      <c r="D89" s="18">
        <f t="shared" si="6"/>
        <v>87</v>
      </c>
      <c r="E89" s="19">
        <f t="shared" si="7"/>
        <v>15494.41487825024</v>
      </c>
      <c r="F89" s="20">
        <f t="shared" si="8"/>
        <v>5314.1315458311092</v>
      </c>
      <c r="G89" s="21">
        <f t="shared" si="9"/>
        <v>20808.546424081349</v>
      </c>
      <c r="H89" s="16">
        <f t="shared" si="5"/>
        <v>2757095.9568597199</v>
      </c>
    </row>
    <row r="90" spans="4:8" x14ac:dyDescent="0.25">
      <c r="D90" s="18">
        <f t="shared" si="6"/>
        <v>88</v>
      </c>
      <c r="E90" s="19">
        <f t="shared" si="7"/>
        <v>15524.112506766887</v>
      </c>
      <c r="F90" s="20">
        <f t="shared" si="8"/>
        <v>5284.4339173144626</v>
      </c>
      <c r="G90" s="21">
        <f t="shared" si="9"/>
        <v>20808.546424081349</v>
      </c>
      <c r="H90" s="16">
        <f t="shared" si="5"/>
        <v>2741571.8443529531</v>
      </c>
    </row>
    <row r="91" spans="4:8" x14ac:dyDescent="0.25">
      <c r="D91" s="18">
        <f t="shared" si="6"/>
        <v>89</v>
      </c>
      <c r="E91" s="19">
        <f t="shared" si="7"/>
        <v>15553.867055738188</v>
      </c>
      <c r="F91" s="20">
        <f t="shared" si="8"/>
        <v>5254.6793683431597</v>
      </c>
      <c r="G91" s="21">
        <f t="shared" si="9"/>
        <v>20808.546424081349</v>
      </c>
      <c r="H91" s="16">
        <f t="shared" si="5"/>
        <v>2726017.9772972148</v>
      </c>
    </row>
    <row r="92" spans="4:8" x14ac:dyDescent="0.25">
      <c r="D92" s="18">
        <f t="shared" si="6"/>
        <v>90</v>
      </c>
      <c r="E92" s="19">
        <f t="shared" si="7"/>
        <v>15583.678634261687</v>
      </c>
      <c r="F92" s="20">
        <f t="shared" si="8"/>
        <v>5224.8677898196611</v>
      </c>
      <c r="G92" s="21">
        <f t="shared" si="9"/>
        <v>20808.546424081349</v>
      </c>
      <c r="H92" s="16">
        <f t="shared" si="5"/>
        <v>2710434.2986629531</v>
      </c>
    </row>
    <row r="93" spans="4:8" x14ac:dyDescent="0.25">
      <c r="D93" s="18">
        <f t="shared" si="6"/>
        <v>91</v>
      </c>
      <c r="E93" s="19">
        <f t="shared" si="7"/>
        <v>15613.547351644022</v>
      </c>
      <c r="F93" s="20">
        <f t="shared" si="8"/>
        <v>5194.9990724373265</v>
      </c>
      <c r="G93" s="21">
        <f t="shared" si="9"/>
        <v>20808.546424081349</v>
      </c>
      <c r="H93" s="16">
        <f t="shared" si="5"/>
        <v>2694820.7513113092</v>
      </c>
    </row>
    <row r="94" spans="4:8" x14ac:dyDescent="0.25">
      <c r="D94" s="18">
        <f t="shared" si="6"/>
        <v>92</v>
      </c>
      <c r="E94" s="19">
        <f t="shared" si="7"/>
        <v>15643.47331740134</v>
      </c>
      <c r="F94" s="20">
        <f t="shared" si="8"/>
        <v>5165.073106680009</v>
      </c>
      <c r="G94" s="21">
        <f t="shared" si="9"/>
        <v>20808.546424081349</v>
      </c>
      <c r="H94" s="16">
        <f t="shared" si="5"/>
        <v>2679177.2779939077</v>
      </c>
    </row>
    <row r="95" spans="4:8" x14ac:dyDescent="0.25">
      <c r="D95" s="18">
        <f t="shared" si="6"/>
        <v>93</v>
      </c>
      <c r="E95" s="19">
        <f t="shared" si="7"/>
        <v>15673.456641259694</v>
      </c>
      <c r="F95" s="20">
        <f t="shared" si="8"/>
        <v>5135.0897828216557</v>
      </c>
      <c r="G95" s="21">
        <f t="shared" si="9"/>
        <v>20808.546424081349</v>
      </c>
      <c r="H95" s="16">
        <f t="shared" si="5"/>
        <v>2663503.8213526481</v>
      </c>
    </row>
    <row r="96" spans="4:8" x14ac:dyDescent="0.25">
      <c r="D96" s="18">
        <f t="shared" si="6"/>
        <v>94</v>
      </c>
      <c r="E96" s="19">
        <f t="shared" si="7"/>
        <v>15703.49743315544</v>
      </c>
      <c r="F96" s="20">
        <f t="shared" si="8"/>
        <v>5105.0489909259086</v>
      </c>
      <c r="G96" s="21">
        <f t="shared" si="9"/>
        <v>20808.546424081349</v>
      </c>
      <c r="H96" s="16">
        <f t="shared" si="5"/>
        <v>2647800.3239194928</v>
      </c>
    </row>
    <row r="97" spans="4:8" x14ac:dyDescent="0.25">
      <c r="D97" s="18">
        <f t="shared" si="6"/>
        <v>95</v>
      </c>
      <c r="E97" s="19">
        <f t="shared" si="7"/>
        <v>15733.595803235654</v>
      </c>
      <c r="F97" s="20">
        <f t="shared" si="8"/>
        <v>5074.9506208456942</v>
      </c>
      <c r="G97" s="21">
        <f t="shared" si="9"/>
        <v>20808.546424081349</v>
      </c>
      <c r="H97" s="16">
        <f t="shared" si="5"/>
        <v>2632066.7281162571</v>
      </c>
    </row>
    <row r="98" spans="4:8" x14ac:dyDescent="0.25">
      <c r="D98" s="18">
        <f t="shared" si="6"/>
        <v>96</v>
      </c>
      <c r="E98" s="19">
        <f t="shared" si="7"/>
        <v>15763.751861858524</v>
      </c>
      <c r="F98" s="20">
        <f t="shared" si="8"/>
        <v>5044.7945622228262</v>
      </c>
      <c r="G98" s="21">
        <f t="shared" si="9"/>
        <v>20808.546424081349</v>
      </c>
      <c r="H98" s="16">
        <f t="shared" si="5"/>
        <v>2616302.9762543985</v>
      </c>
    </row>
    <row r="99" spans="4:8" x14ac:dyDescent="0.25">
      <c r="D99" s="18">
        <f t="shared" si="6"/>
        <v>97</v>
      </c>
      <c r="E99" s="19">
        <f t="shared" si="7"/>
        <v>15793.965719593753</v>
      </c>
      <c r="F99" s="20">
        <f t="shared" si="8"/>
        <v>5014.5807044875964</v>
      </c>
      <c r="G99" s="21">
        <f t="shared" si="9"/>
        <v>20808.546424081349</v>
      </c>
      <c r="H99" s="16">
        <f t="shared" si="5"/>
        <v>2600509.0105348048</v>
      </c>
    </row>
    <row r="100" spans="4:8" x14ac:dyDescent="0.25">
      <c r="D100" s="18">
        <f t="shared" si="6"/>
        <v>98</v>
      </c>
      <c r="E100" s="19">
        <f t="shared" si="7"/>
        <v>15824.237487222974</v>
      </c>
      <c r="F100" s="20">
        <f t="shared" si="8"/>
        <v>4984.308936858376</v>
      </c>
      <c r="G100" s="21">
        <f t="shared" si="9"/>
        <v>20808.546424081349</v>
      </c>
      <c r="H100" s="16">
        <f t="shared" si="5"/>
        <v>2584684.7730475818</v>
      </c>
    </row>
    <row r="101" spans="4:8" x14ac:dyDescent="0.25">
      <c r="D101" s="18">
        <f t="shared" si="6"/>
        <v>99</v>
      </c>
      <c r="E101" s="19">
        <f t="shared" si="7"/>
        <v>15854.567275740152</v>
      </c>
      <c r="F101" s="20">
        <f t="shared" si="8"/>
        <v>4953.9791483411982</v>
      </c>
      <c r="G101" s="21">
        <f t="shared" si="9"/>
        <v>20808.546424081349</v>
      </c>
      <c r="H101" s="16">
        <f t="shared" si="5"/>
        <v>2568830.2057718416</v>
      </c>
    </row>
    <row r="102" spans="4:8" x14ac:dyDescent="0.25">
      <c r="D102" s="18">
        <f t="shared" si="6"/>
        <v>100</v>
      </c>
      <c r="E102" s="19">
        <f t="shared" si="7"/>
        <v>15884.955196351986</v>
      </c>
      <c r="F102" s="20">
        <f t="shared" si="8"/>
        <v>4923.5912277293628</v>
      </c>
      <c r="G102" s="21">
        <f t="shared" si="9"/>
        <v>20808.546424081349</v>
      </c>
      <c r="H102" s="16">
        <f t="shared" si="5"/>
        <v>2552945.2505754894</v>
      </c>
    </row>
    <row r="103" spans="4:8" x14ac:dyDescent="0.25">
      <c r="D103" s="18">
        <f t="shared" si="6"/>
        <v>101</v>
      </c>
      <c r="E103" s="19">
        <f t="shared" si="7"/>
        <v>15915.401360478329</v>
      </c>
      <c r="F103" s="20">
        <f t="shared" si="8"/>
        <v>4893.1450636030213</v>
      </c>
      <c r="G103" s="21">
        <f t="shared" si="9"/>
        <v>20808.546424081349</v>
      </c>
      <c r="H103" s="16">
        <f t="shared" si="5"/>
        <v>2537029.8492150111</v>
      </c>
    </row>
    <row r="104" spans="4:8" x14ac:dyDescent="0.25">
      <c r="D104" s="18">
        <f t="shared" si="6"/>
        <v>102</v>
      </c>
      <c r="E104" s="19">
        <f t="shared" si="7"/>
        <v>15945.905879752578</v>
      </c>
      <c r="F104" s="20">
        <f t="shared" si="8"/>
        <v>4862.6405443287713</v>
      </c>
      <c r="G104" s="21">
        <f t="shared" si="9"/>
        <v>20808.546424081349</v>
      </c>
      <c r="H104" s="16">
        <f t="shared" si="5"/>
        <v>2521083.9433352584</v>
      </c>
    </row>
    <row r="105" spans="4:8" x14ac:dyDescent="0.25">
      <c r="D105" s="18">
        <f t="shared" si="6"/>
        <v>103</v>
      </c>
      <c r="E105" s="19">
        <f t="shared" si="7"/>
        <v>15976.468866022104</v>
      </c>
      <c r="F105" s="20">
        <f t="shared" si="8"/>
        <v>4832.0775580592453</v>
      </c>
      <c r="G105" s="21">
        <f t="shared" si="9"/>
        <v>20808.546424081349</v>
      </c>
      <c r="H105" s="16">
        <f t="shared" si="5"/>
        <v>2505107.4744692361</v>
      </c>
    </row>
    <row r="106" spans="4:8" x14ac:dyDescent="0.25">
      <c r="D106" s="18">
        <f t="shared" si="6"/>
        <v>104</v>
      </c>
      <c r="E106" s="19">
        <f t="shared" si="7"/>
        <v>16007.090431348646</v>
      </c>
      <c r="F106" s="20">
        <f t="shared" si="8"/>
        <v>4801.4559927327018</v>
      </c>
      <c r="G106" s="21">
        <f t="shared" si="9"/>
        <v>20808.546424081349</v>
      </c>
      <c r="H106" s="16">
        <f t="shared" si="5"/>
        <v>2489100.3840378877</v>
      </c>
    </row>
    <row r="107" spans="4:8" x14ac:dyDescent="0.25">
      <c r="D107" s="18">
        <f t="shared" si="6"/>
        <v>105</v>
      </c>
      <c r="E107" s="19">
        <f t="shared" si="7"/>
        <v>16037.770688008732</v>
      </c>
      <c r="F107" s="20">
        <f t="shared" si="8"/>
        <v>4770.7757360726182</v>
      </c>
      <c r="G107" s="21">
        <f t="shared" si="9"/>
        <v>20808.546424081349</v>
      </c>
      <c r="H107" s="16">
        <f t="shared" si="5"/>
        <v>2473062.6133498792</v>
      </c>
    </row>
    <row r="108" spans="4:8" x14ac:dyDescent="0.25">
      <c r="D108" s="18">
        <f t="shared" si="6"/>
        <v>106</v>
      </c>
      <c r="E108" s="19">
        <f t="shared" si="7"/>
        <v>16068.509748494082</v>
      </c>
      <c r="F108" s="20">
        <f t="shared" si="8"/>
        <v>4740.0366755872683</v>
      </c>
      <c r="G108" s="21">
        <f t="shared" si="9"/>
        <v>20808.546424081349</v>
      </c>
      <c r="H108" s="16">
        <f t="shared" si="5"/>
        <v>2456994.1036013849</v>
      </c>
    </row>
    <row r="109" spans="4:8" x14ac:dyDescent="0.25">
      <c r="D109" s="18">
        <f t="shared" si="6"/>
        <v>107</v>
      </c>
      <c r="E109" s="19">
        <f t="shared" si="7"/>
        <v>16099.307725512028</v>
      </c>
      <c r="F109" s="20">
        <f t="shared" si="8"/>
        <v>4709.2386985693211</v>
      </c>
      <c r="G109" s="21">
        <f t="shared" si="9"/>
        <v>20808.546424081349</v>
      </c>
      <c r="H109" s="16">
        <f t="shared" si="5"/>
        <v>2440894.795875873</v>
      </c>
    </row>
    <row r="110" spans="4:8" x14ac:dyDescent="0.25">
      <c r="D110" s="18">
        <f t="shared" si="6"/>
        <v>108</v>
      </c>
      <c r="E110" s="19">
        <f t="shared" si="7"/>
        <v>16130.164731985926</v>
      </c>
      <c r="F110" s="20">
        <f t="shared" si="8"/>
        <v>4678.3816920954232</v>
      </c>
      <c r="G110" s="21">
        <f t="shared" si="9"/>
        <v>20808.546424081349</v>
      </c>
      <c r="H110" s="16">
        <f t="shared" si="5"/>
        <v>2424764.6311438871</v>
      </c>
    </row>
    <row r="111" spans="4:8" x14ac:dyDescent="0.25">
      <c r="D111" s="18">
        <f t="shared" si="6"/>
        <v>109</v>
      </c>
      <c r="E111" s="19">
        <f t="shared" si="7"/>
        <v>16161.080881055565</v>
      </c>
      <c r="F111" s="20">
        <f t="shared" si="8"/>
        <v>4647.4655430257835</v>
      </c>
      <c r="G111" s="21">
        <f t="shared" si="9"/>
        <v>20808.546424081349</v>
      </c>
      <c r="H111" s="16">
        <f t="shared" si="5"/>
        <v>2408603.5502628316</v>
      </c>
    </row>
    <row r="112" spans="4:8" x14ac:dyDescent="0.25">
      <c r="D112" s="18">
        <f t="shared" si="6"/>
        <v>110</v>
      </c>
      <c r="E112" s="19">
        <f t="shared" si="7"/>
        <v>16192.05628607759</v>
      </c>
      <c r="F112" s="20">
        <f t="shared" si="8"/>
        <v>4616.49013800376</v>
      </c>
      <c r="G112" s="21">
        <f t="shared" si="9"/>
        <v>20808.546424081349</v>
      </c>
      <c r="H112" s="16">
        <f t="shared" si="5"/>
        <v>2392411.4939767541</v>
      </c>
    </row>
    <row r="113" spans="4:8" x14ac:dyDescent="0.25">
      <c r="D113" s="18">
        <f t="shared" si="6"/>
        <v>111</v>
      </c>
      <c r="E113" s="19">
        <f t="shared" si="7"/>
        <v>16223.091060625904</v>
      </c>
      <c r="F113" s="20">
        <f t="shared" si="8"/>
        <v>4585.455363455445</v>
      </c>
      <c r="G113" s="21">
        <f t="shared" si="9"/>
        <v>20808.546424081349</v>
      </c>
      <c r="H113" s="16">
        <f t="shared" si="5"/>
        <v>2376188.4029161283</v>
      </c>
    </row>
    <row r="114" spans="4:8" x14ac:dyDescent="0.25">
      <c r="D114" s="18">
        <f t="shared" si="6"/>
        <v>112</v>
      </c>
      <c r="E114" s="19">
        <f t="shared" si="7"/>
        <v>16254.185318492104</v>
      </c>
      <c r="F114" s="20">
        <f t="shared" si="8"/>
        <v>4554.3611055892452</v>
      </c>
      <c r="G114" s="21">
        <f t="shared" si="9"/>
        <v>20808.546424081349</v>
      </c>
      <c r="H114" s="16">
        <f t="shared" si="5"/>
        <v>2359934.2175976364</v>
      </c>
    </row>
    <row r="115" spans="4:8" x14ac:dyDescent="0.25">
      <c r="D115" s="18">
        <f t="shared" si="6"/>
        <v>113</v>
      </c>
      <c r="E115" s="19">
        <f t="shared" si="7"/>
        <v>16285.339173685879</v>
      </c>
      <c r="F115" s="20">
        <f t="shared" si="8"/>
        <v>4523.2072503954696</v>
      </c>
      <c r="G115" s="21">
        <f t="shared" si="9"/>
        <v>20808.546424081349</v>
      </c>
      <c r="H115" s="16">
        <f t="shared" si="5"/>
        <v>2343648.8784239506</v>
      </c>
    </row>
    <row r="116" spans="4:8" x14ac:dyDescent="0.25">
      <c r="D116" s="18">
        <f t="shared" si="6"/>
        <v>114</v>
      </c>
      <c r="E116" s="19">
        <f t="shared" si="7"/>
        <v>16316.552740435443</v>
      </c>
      <c r="F116" s="20">
        <f t="shared" si="8"/>
        <v>4491.9936836459055</v>
      </c>
      <c r="G116" s="21">
        <f t="shared" si="9"/>
        <v>20808.546424081349</v>
      </c>
      <c r="H116" s="16">
        <f t="shared" si="5"/>
        <v>2327332.3256835151</v>
      </c>
    </row>
    <row r="117" spans="4:8" x14ac:dyDescent="0.25">
      <c r="D117" s="18">
        <f t="shared" si="6"/>
        <v>115</v>
      </c>
      <c r="E117" s="19">
        <f t="shared" si="7"/>
        <v>16347.826133187946</v>
      </c>
      <c r="F117" s="20">
        <f t="shared" si="8"/>
        <v>4460.7202908934032</v>
      </c>
      <c r="G117" s="21">
        <f t="shared" si="9"/>
        <v>20808.546424081349</v>
      </c>
      <c r="H117" s="16">
        <f t="shared" si="5"/>
        <v>2310984.4995503272</v>
      </c>
    </row>
    <row r="118" spans="4:8" x14ac:dyDescent="0.25">
      <c r="D118" s="18">
        <f t="shared" si="6"/>
        <v>116</v>
      </c>
      <c r="E118" s="19">
        <f t="shared" si="7"/>
        <v>16379.15946660989</v>
      </c>
      <c r="F118" s="20">
        <f t="shared" si="8"/>
        <v>4429.3869574714599</v>
      </c>
      <c r="G118" s="21">
        <f t="shared" si="9"/>
        <v>20808.546424081349</v>
      </c>
      <c r="H118" s="16">
        <f t="shared" si="5"/>
        <v>2294605.3400837174</v>
      </c>
    </row>
    <row r="119" spans="4:8" x14ac:dyDescent="0.25">
      <c r="D119" s="18">
        <f t="shared" si="6"/>
        <v>117</v>
      </c>
      <c r="E119" s="19">
        <f t="shared" si="7"/>
        <v>16410.552855587557</v>
      </c>
      <c r="F119" s="20">
        <f t="shared" si="8"/>
        <v>4397.9935684937918</v>
      </c>
      <c r="G119" s="21">
        <f t="shared" si="9"/>
        <v>20808.546424081349</v>
      </c>
      <c r="H119" s="16">
        <f t="shared" si="5"/>
        <v>2278194.7872281298</v>
      </c>
    </row>
    <row r="120" spans="4:8" x14ac:dyDescent="0.25">
      <c r="D120" s="18">
        <f t="shared" si="6"/>
        <v>118</v>
      </c>
      <c r="E120" s="19">
        <f t="shared" si="7"/>
        <v>16442.006415227435</v>
      </c>
      <c r="F120" s="20">
        <f t="shared" si="8"/>
        <v>4366.5400088539154</v>
      </c>
      <c r="G120" s="21">
        <f t="shared" si="9"/>
        <v>20808.546424081353</v>
      </c>
      <c r="H120" s="16">
        <f t="shared" si="5"/>
        <v>2261752.7808129024</v>
      </c>
    </row>
    <row r="121" spans="4:8" x14ac:dyDescent="0.25">
      <c r="D121" s="18">
        <f t="shared" si="6"/>
        <v>119</v>
      </c>
      <c r="E121" s="19">
        <f t="shared" si="7"/>
        <v>16473.520260856618</v>
      </c>
      <c r="F121" s="20">
        <f t="shared" si="8"/>
        <v>4335.0261632247293</v>
      </c>
      <c r="G121" s="21">
        <f t="shared" si="9"/>
        <v>20808.546424081345</v>
      </c>
      <c r="H121" s="16">
        <f t="shared" si="5"/>
        <v>2245279.2605520459</v>
      </c>
    </row>
    <row r="122" spans="4:8" x14ac:dyDescent="0.25">
      <c r="D122" s="18">
        <f t="shared" si="6"/>
        <v>120</v>
      </c>
      <c r="E122" s="19">
        <f t="shared" si="7"/>
        <v>16505.094508023263</v>
      </c>
      <c r="F122" s="20">
        <f t="shared" si="8"/>
        <v>4303.4519160580876</v>
      </c>
      <c r="G122" s="21">
        <f t="shared" si="9"/>
        <v>20808.546424081353</v>
      </c>
      <c r="H122" s="16">
        <f t="shared" si="5"/>
        <v>2228774.1660440224</v>
      </c>
    </row>
    <row r="123" spans="4:8" x14ac:dyDescent="0.25">
      <c r="D123" s="18">
        <f t="shared" si="6"/>
        <v>121</v>
      </c>
      <c r="E123" s="19">
        <f t="shared" si="7"/>
        <v>16536.729272496974</v>
      </c>
      <c r="F123" s="20">
        <f t="shared" si="8"/>
        <v>4271.817151584376</v>
      </c>
      <c r="G123" s="21">
        <f t="shared" si="9"/>
        <v>20808.546424081349</v>
      </c>
      <c r="H123" s="16">
        <f t="shared" si="5"/>
        <v>2212237.4367715255</v>
      </c>
    </row>
    <row r="124" spans="4:8" x14ac:dyDescent="0.25">
      <c r="D124" s="18">
        <f t="shared" si="6"/>
        <v>122</v>
      </c>
      <c r="E124" s="19">
        <f t="shared" si="7"/>
        <v>16568.424670269258</v>
      </c>
      <c r="F124" s="20">
        <f t="shared" si="8"/>
        <v>4240.12175381209</v>
      </c>
      <c r="G124" s="21">
        <f t="shared" si="9"/>
        <v>20808.546424081349</v>
      </c>
      <c r="H124" s="16">
        <f t="shared" si="5"/>
        <v>2195669.0121012563</v>
      </c>
    </row>
    <row r="125" spans="4:8" x14ac:dyDescent="0.25">
      <c r="D125" s="18">
        <f t="shared" si="6"/>
        <v>123</v>
      </c>
      <c r="E125" s="19">
        <f t="shared" si="7"/>
        <v>16600.180817553941</v>
      </c>
      <c r="F125" s="20">
        <f t="shared" si="8"/>
        <v>4208.3656065274081</v>
      </c>
      <c r="G125" s="21">
        <f t="shared" si="9"/>
        <v>20808.546424081349</v>
      </c>
      <c r="H125" s="16">
        <f t="shared" si="5"/>
        <v>2179068.8312837025</v>
      </c>
    </row>
    <row r="126" spans="4:8" x14ac:dyDescent="0.25">
      <c r="D126" s="18">
        <f t="shared" si="6"/>
        <v>124</v>
      </c>
      <c r="E126" s="19">
        <f t="shared" si="7"/>
        <v>16631.997830787586</v>
      </c>
      <c r="F126" s="20">
        <f t="shared" si="8"/>
        <v>4176.5485932937627</v>
      </c>
      <c r="G126" s="21">
        <f t="shared" si="9"/>
        <v>20808.546424081349</v>
      </c>
      <c r="H126" s="16">
        <f t="shared" si="5"/>
        <v>2162436.8334529148</v>
      </c>
    </row>
    <row r="127" spans="4:8" x14ac:dyDescent="0.25">
      <c r="D127" s="18">
        <f t="shared" si="6"/>
        <v>125</v>
      </c>
      <c r="E127" s="19">
        <f t="shared" si="7"/>
        <v>16663.87582662993</v>
      </c>
      <c r="F127" s="20">
        <f t="shared" si="8"/>
        <v>4144.6705974514198</v>
      </c>
      <c r="G127" s="21">
        <f t="shared" si="9"/>
        <v>20808.546424081349</v>
      </c>
      <c r="H127" s="16">
        <f t="shared" si="5"/>
        <v>2145772.957626285</v>
      </c>
    </row>
    <row r="128" spans="4:8" x14ac:dyDescent="0.25">
      <c r="D128" s="18">
        <f t="shared" si="6"/>
        <v>126</v>
      </c>
      <c r="E128" s="19">
        <f t="shared" si="7"/>
        <v>16695.814921964302</v>
      </c>
      <c r="F128" s="20">
        <f t="shared" si="8"/>
        <v>4112.7315021170461</v>
      </c>
      <c r="G128" s="21">
        <f t="shared" si="9"/>
        <v>20808.546424081349</v>
      </c>
      <c r="H128" s="16">
        <f t="shared" si="5"/>
        <v>2129077.1427043206</v>
      </c>
    </row>
    <row r="129" spans="4:8" x14ac:dyDescent="0.25">
      <c r="D129" s="18">
        <f t="shared" si="6"/>
        <v>127</v>
      </c>
      <c r="E129" s="19">
        <f t="shared" si="7"/>
        <v>16727.815233898069</v>
      </c>
      <c r="F129" s="20">
        <f t="shared" si="8"/>
        <v>4080.7311901832809</v>
      </c>
      <c r="G129" s="21">
        <f t="shared" si="9"/>
        <v>20808.546424081349</v>
      </c>
      <c r="H129" s="16">
        <f t="shared" si="5"/>
        <v>2112349.3274704227</v>
      </c>
    </row>
    <row r="130" spans="4:8" x14ac:dyDescent="0.25">
      <c r="D130" s="18">
        <f t="shared" si="6"/>
        <v>128</v>
      </c>
      <c r="E130" s="19">
        <f t="shared" si="7"/>
        <v>16759.87687976304</v>
      </c>
      <c r="F130" s="20">
        <f t="shared" si="8"/>
        <v>4048.6695443183098</v>
      </c>
      <c r="G130" s="21">
        <f t="shared" si="9"/>
        <v>20808.546424081349</v>
      </c>
      <c r="H130" s="16">
        <f t="shared" si="5"/>
        <v>2095589.4505906596</v>
      </c>
    </row>
    <row r="131" spans="4:8" x14ac:dyDescent="0.25">
      <c r="D131" s="18">
        <f t="shared" si="6"/>
        <v>129</v>
      </c>
      <c r="E131" s="19">
        <f t="shared" si="7"/>
        <v>16791.99997711592</v>
      </c>
      <c r="F131" s="20">
        <f t="shared" si="8"/>
        <v>4016.5464469654307</v>
      </c>
      <c r="G131" s="21">
        <f t="shared" si="9"/>
        <v>20808.546424081353</v>
      </c>
      <c r="H131" s="16">
        <f t="shared" ref="H131:H194" si="10">H130-E131</f>
        <v>2078797.4506135436</v>
      </c>
    </row>
    <row r="132" spans="4:8" x14ac:dyDescent="0.25">
      <c r="D132" s="18">
        <f t="shared" ref="D132:D195" si="11">D131+1</f>
        <v>130</v>
      </c>
      <c r="E132" s="19">
        <f t="shared" ref="E132:E195" si="12">$B$5-F132</f>
        <v>16824.184643738725</v>
      </c>
      <c r="F132" s="20">
        <f t="shared" ref="F132:F195" si="13">H131*($B$2/12)</f>
        <v>3984.361780342625</v>
      </c>
      <c r="G132" s="21">
        <f t="shared" ref="G132:G195" si="14">E132+F132</f>
        <v>20808.546424081349</v>
      </c>
      <c r="H132" s="16">
        <f t="shared" si="10"/>
        <v>2061973.265969805</v>
      </c>
    </row>
    <row r="133" spans="4:8" x14ac:dyDescent="0.25">
      <c r="D133" s="18">
        <f t="shared" si="11"/>
        <v>131</v>
      </c>
      <c r="E133" s="19">
        <f t="shared" si="12"/>
        <v>16856.430997639221</v>
      </c>
      <c r="F133" s="20">
        <f t="shared" si="13"/>
        <v>3952.1154264421261</v>
      </c>
      <c r="G133" s="21">
        <f t="shared" si="14"/>
        <v>20808.546424081349</v>
      </c>
      <c r="H133" s="16">
        <f t="shared" si="10"/>
        <v>2045116.8349721658</v>
      </c>
    </row>
    <row r="134" spans="4:8" x14ac:dyDescent="0.25">
      <c r="D134" s="18">
        <f t="shared" si="11"/>
        <v>132</v>
      </c>
      <c r="E134" s="19">
        <f t="shared" si="12"/>
        <v>16888.739157051365</v>
      </c>
      <c r="F134" s="20">
        <f t="shared" si="13"/>
        <v>3919.8072670299844</v>
      </c>
      <c r="G134" s="21">
        <f t="shared" si="14"/>
        <v>20808.546424081349</v>
      </c>
      <c r="H134" s="16">
        <f t="shared" si="10"/>
        <v>2028228.0958151144</v>
      </c>
    </row>
    <row r="135" spans="4:8" x14ac:dyDescent="0.25">
      <c r="D135" s="18">
        <f t="shared" si="11"/>
        <v>133</v>
      </c>
      <c r="E135" s="19">
        <f t="shared" si="12"/>
        <v>16921.109240435711</v>
      </c>
      <c r="F135" s="20">
        <f t="shared" si="13"/>
        <v>3887.4371836456357</v>
      </c>
      <c r="G135" s="21">
        <f t="shared" si="14"/>
        <v>20808.546424081345</v>
      </c>
      <c r="H135" s="16">
        <f t="shared" si="10"/>
        <v>2011306.9865746787</v>
      </c>
    </row>
    <row r="136" spans="4:8" x14ac:dyDescent="0.25">
      <c r="D136" s="18">
        <f t="shared" si="11"/>
        <v>134</v>
      </c>
      <c r="E136" s="19">
        <f t="shared" si="12"/>
        <v>16953.541366479883</v>
      </c>
      <c r="F136" s="20">
        <f t="shared" si="13"/>
        <v>3855.0050576014673</v>
      </c>
      <c r="G136" s="21">
        <f t="shared" si="14"/>
        <v>20808.546424081353</v>
      </c>
      <c r="H136" s="16">
        <f t="shared" si="10"/>
        <v>1994353.4452081989</v>
      </c>
    </row>
    <row r="137" spans="4:8" x14ac:dyDescent="0.25">
      <c r="D137" s="18">
        <f t="shared" si="11"/>
        <v>135</v>
      </c>
      <c r="E137" s="19">
        <f t="shared" si="12"/>
        <v>16986.035654098967</v>
      </c>
      <c r="F137" s="20">
        <f t="shared" si="13"/>
        <v>3822.5107699823811</v>
      </c>
      <c r="G137" s="21">
        <f t="shared" si="14"/>
        <v>20808.546424081349</v>
      </c>
      <c r="H137" s="16">
        <f t="shared" si="10"/>
        <v>1977367.4095540999</v>
      </c>
    </row>
    <row r="138" spans="4:8" x14ac:dyDescent="0.25">
      <c r="D138" s="18">
        <f t="shared" si="11"/>
        <v>136</v>
      </c>
      <c r="E138" s="19">
        <f t="shared" si="12"/>
        <v>17018.592222435989</v>
      </c>
      <c r="F138" s="20">
        <f t="shared" si="13"/>
        <v>3789.9542016453579</v>
      </c>
      <c r="G138" s="21">
        <f t="shared" si="14"/>
        <v>20808.546424081345</v>
      </c>
      <c r="H138" s="16">
        <f t="shared" si="10"/>
        <v>1960348.8173316638</v>
      </c>
    </row>
    <row r="139" spans="4:8" x14ac:dyDescent="0.25">
      <c r="D139" s="18">
        <f t="shared" si="11"/>
        <v>137</v>
      </c>
      <c r="E139" s="19">
        <f t="shared" si="12"/>
        <v>17051.211190862326</v>
      </c>
      <c r="F139" s="20">
        <f t="shared" si="13"/>
        <v>3757.335233219022</v>
      </c>
      <c r="G139" s="21">
        <f t="shared" si="14"/>
        <v>20808.546424081349</v>
      </c>
      <c r="H139" s="16">
        <f t="shared" si="10"/>
        <v>1943297.6061408015</v>
      </c>
    </row>
    <row r="140" spans="4:8" x14ac:dyDescent="0.25">
      <c r="D140" s="18">
        <f t="shared" si="11"/>
        <v>138</v>
      </c>
      <c r="E140" s="19">
        <f t="shared" si="12"/>
        <v>17083.892678978147</v>
      </c>
      <c r="F140" s="20">
        <f t="shared" si="13"/>
        <v>3724.6537451032027</v>
      </c>
      <c r="G140" s="21">
        <f t="shared" si="14"/>
        <v>20808.546424081349</v>
      </c>
      <c r="H140" s="16">
        <f t="shared" si="10"/>
        <v>1926213.7134618233</v>
      </c>
    </row>
    <row r="141" spans="4:8" x14ac:dyDescent="0.25">
      <c r="D141" s="18">
        <f t="shared" si="11"/>
        <v>139</v>
      </c>
      <c r="E141" s="19">
        <f t="shared" si="12"/>
        <v>17116.636806612856</v>
      </c>
      <c r="F141" s="20">
        <f t="shared" si="13"/>
        <v>3691.9096174684946</v>
      </c>
      <c r="G141" s="21">
        <f t="shared" si="14"/>
        <v>20808.546424081353</v>
      </c>
      <c r="H141" s="16">
        <f t="shared" si="10"/>
        <v>1909097.0766552105</v>
      </c>
    </row>
    <row r="142" spans="4:8" x14ac:dyDescent="0.25">
      <c r="D142" s="18">
        <f t="shared" si="11"/>
        <v>140</v>
      </c>
      <c r="E142" s="19">
        <f t="shared" si="12"/>
        <v>17149.443693825528</v>
      </c>
      <c r="F142" s="20">
        <f t="shared" si="13"/>
        <v>3659.10273025582</v>
      </c>
      <c r="G142" s="21">
        <f t="shared" si="14"/>
        <v>20808.546424081349</v>
      </c>
      <c r="H142" s="16">
        <f t="shared" si="10"/>
        <v>1891947.632961385</v>
      </c>
    </row>
    <row r="143" spans="4:8" x14ac:dyDescent="0.25">
      <c r="D143" s="18">
        <f t="shared" si="11"/>
        <v>141</v>
      </c>
      <c r="E143" s="19">
        <f t="shared" si="12"/>
        <v>17182.31346090536</v>
      </c>
      <c r="F143" s="20">
        <f t="shared" si="13"/>
        <v>3626.2329631759876</v>
      </c>
      <c r="G143" s="21">
        <f t="shared" si="14"/>
        <v>20808.546424081345</v>
      </c>
      <c r="H143" s="16">
        <f t="shared" si="10"/>
        <v>1874765.3195004796</v>
      </c>
    </row>
    <row r="144" spans="4:8" x14ac:dyDescent="0.25">
      <c r="D144" s="18">
        <f t="shared" si="11"/>
        <v>142</v>
      </c>
      <c r="E144" s="19">
        <f t="shared" si="12"/>
        <v>17215.246228372096</v>
      </c>
      <c r="F144" s="20">
        <f t="shared" si="13"/>
        <v>3593.3001957092524</v>
      </c>
      <c r="G144" s="21">
        <f t="shared" si="14"/>
        <v>20808.546424081349</v>
      </c>
      <c r="H144" s="16">
        <f t="shared" si="10"/>
        <v>1857550.0732721076</v>
      </c>
    </row>
    <row r="145" spans="4:8" x14ac:dyDescent="0.25">
      <c r="D145" s="18">
        <f t="shared" si="11"/>
        <v>143</v>
      </c>
      <c r="E145" s="19">
        <f t="shared" si="12"/>
        <v>17248.242116976475</v>
      </c>
      <c r="F145" s="20">
        <f t="shared" si="13"/>
        <v>3560.3043071048728</v>
      </c>
      <c r="G145" s="21">
        <f t="shared" si="14"/>
        <v>20808.546424081349</v>
      </c>
      <c r="H145" s="16">
        <f t="shared" si="10"/>
        <v>1840301.8311551311</v>
      </c>
    </row>
    <row r="146" spans="4:8" x14ac:dyDescent="0.25">
      <c r="D146" s="18">
        <f t="shared" si="11"/>
        <v>144</v>
      </c>
      <c r="E146" s="19">
        <f t="shared" si="12"/>
        <v>17281.301247700681</v>
      </c>
      <c r="F146" s="20">
        <f t="shared" si="13"/>
        <v>3527.2451763806675</v>
      </c>
      <c r="G146" s="21">
        <f t="shared" si="14"/>
        <v>20808.546424081349</v>
      </c>
      <c r="H146" s="16">
        <f t="shared" si="10"/>
        <v>1823020.5299074305</v>
      </c>
    </row>
    <row r="147" spans="4:8" x14ac:dyDescent="0.25">
      <c r="D147" s="18">
        <f t="shared" si="11"/>
        <v>145</v>
      </c>
      <c r="E147" s="19">
        <f t="shared" si="12"/>
        <v>17314.423741758772</v>
      </c>
      <c r="F147" s="20">
        <f t="shared" si="13"/>
        <v>3494.1226823225752</v>
      </c>
      <c r="G147" s="21">
        <f t="shared" si="14"/>
        <v>20808.546424081345</v>
      </c>
      <c r="H147" s="16">
        <f t="shared" si="10"/>
        <v>1805706.1061656717</v>
      </c>
    </row>
    <row r="148" spans="4:8" x14ac:dyDescent="0.25">
      <c r="D148" s="18">
        <f t="shared" si="11"/>
        <v>146</v>
      </c>
      <c r="E148" s="19">
        <f t="shared" si="12"/>
        <v>17347.609720597145</v>
      </c>
      <c r="F148" s="20">
        <f t="shared" si="13"/>
        <v>3460.9367034842039</v>
      </c>
      <c r="G148" s="21">
        <f t="shared" si="14"/>
        <v>20808.546424081349</v>
      </c>
      <c r="H148" s="16">
        <f t="shared" si="10"/>
        <v>1788358.4964450747</v>
      </c>
    </row>
    <row r="149" spans="4:8" x14ac:dyDescent="0.25">
      <c r="D149" s="18">
        <f t="shared" si="11"/>
        <v>147</v>
      </c>
      <c r="E149" s="19">
        <f t="shared" si="12"/>
        <v>17380.859305894955</v>
      </c>
      <c r="F149" s="20">
        <f t="shared" si="13"/>
        <v>3427.687118186393</v>
      </c>
      <c r="G149" s="21">
        <f t="shared" si="14"/>
        <v>20808.546424081349</v>
      </c>
      <c r="H149" s="16">
        <f t="shared" si="10"/>
        <v>1770977.6371391797</v>
      </c>
    </row>
    <row r="150" spans="4:8" x14ac:dyDescent="0.25">
      <c r="D150" s="18">
        <f t="shared" si="11"/>
        <v>148</v>
      </c>
      <c r="E150" s="19">
        <f t="shared" si="12"/>
        <v>17414.17261956459</v>
      </c>
      <c r="F150" s="20">
        <f t="shared" si="13"/>
        <v>3394.3738045167611</v>
      </c>
      <c r="G150" s="21">
        <f t="shared" si="14"/>
        <v>20808.546424081353</v>
      </c>
      <c r="H150" s="16">
        <f t="shared" si="10"/>
        <v>1753563.4645196151</v>
      </c>
    </row>
    <row r="151" spans="4:8" x14ac:dyDescent="0.25">
      <c r="D151" s="18">
        <f t="shared" si="11"/>
        <v>149</v>
      </c>
      <c r="E151" s="19">
        <f t="shared" si="12"/>
        <v>17447.549783752089</v>
      </c>
      <c r="F151" s="20">
        <f t="shared" si="13"/>
        <v>3360.9966403292619</v>
      </c>
      <c r="G151" s="21">
        <f t="shared" si="14"/>
        <v>20808.546424081353</v>
      </c>
      <c r="H151" s="16">
        <f t="shared" si="10"/>
        <v>1736115.914735863</v>
      </c>
    </row>
    <row r="152" spans="4:8" x14ac:dyDescent="0.25">
      <c r="D152" s="18">
        <f t="shared" si="11"/>
        <v>150</v>
      </c>
      <c r="E152" s="19">
        <f t="shared" si="12"/>
        <v>17480.990920837612</v>
      </c>
      <c r="F152" s="20">
        <f t="shared" si="13"/>
        <v>3327.5555032437373</v>
      </c>
      <c r="G152" s="21">
        <f t="shared" si="14"/>
        <v>20808.546424081349</v>
      </c>
      <c r="H152" s="16">
        <f t="shared" si="10"/>
        <v>1718634.9238150255</v>
      </c>
    </row>
    <row r="153" spans="4:8" x14ac:dyDescent="0.25">
      <c r="D153" s="18">
        <f t="shared" si="11"/>
        <v>151</v>
      </c>
      <c r="E153" s="19">
        <f t="shared" si="12"/>
        <v>17514.496153435884</v>
      </c>
      <c r="F153" s="20">
        <f t="shared" si="13"/>
        <v>3294.0502706454654</v>
      </c>
      <c r="G153" s="21">
        <f t="shared" si="14"/>
        <v>20808.546424081349</v>
      </c>
      <c r="H153" s="16">
        <f t="shared" si="10"/>
        <v>1701120.4276615896</v>
      </c>
    </row>
    <row r="154" spans="4:8" x14ac:dyDescent="0.25">
      <c r="D154" s="18">
        <f t="shared" si="11"/>
        <v>152</v>
      </c>
      <c r="E154" s="19">
        <f t="shared" si="12"/>
        <v>17548.065604396637</v>
      </c>
      <c r="F154" s="20">
        <f t="shared" si="13"/>
        <v>3260.480819684713</v>
      </c>
      <c r="G154" s="21">
        <f t="shared" si="14"/>
        <v>20808.546424081349</v>
      </c>
      <c r="H154" s="16">
        <f t="shared" si="10"/>
        <v>1683572.3620571929</v>
      </c>
    </row>
    <row r="155" spans="4:8" x14ac:dyDescent="0.25">
      <c r="D155" s="18">
        <f t="shared" si="11"/>
        <v>153</v>
      </c>
      <c r="E155" s="19">
        <f t="shared" si="12"/>
        <v>17581.699396805063</v>
      </c>
      <c r="F155" s="20">
        <f t="shared" si="13"/>
        <v>3226.8470272762861</v>
      </c>
      <c r="G155" s="21">
        <f t="shared" si="14"/>
        <v>20808.546424081349</v>
      </c>
      <c r="H155" s="16">
        <f t="shared" si="10"/>
        <v>1665990.6626603878</v>
      </c>
    </row>
    <row r="156" spans="4:8" x14ac:dyDescent="0.25">
      <c r="D156" s="18">
        <f t="shared" si="11"/>
        <v>154</v>
      </c>
      <c r="E156" s="19">
        <f t="shared" si="12"/>
        <v>17615.397653982272</v>
      </c>
      <c r="F156" s="20">
        <f t="shared" si="13"/>
        <v>3193.1487700990765</v>
      </c>
      <c r="G156" s="21">
        <f t="shared" si="14"/>
        <v>20808.546424081349</v>
      </c>
      <c r="H156" s="16">
        <f t="shared" si="10"/>
        <v>1648375.2650064055</v>
      </c>
    </row>
    <row r="157" spans="4:8" x14ac:dyDescent="0.25">
      <c r="D157" s="18">
        <f t="shared" si="11"/>
        <v>155</v>
      </c>
      <c r="E157" s="19">
        <f t="shared" si="12"/>
        <v>17649.160499485737</v>
      </c>
      <c r="F157" s="20">
        <f t="shared" si="13"/>
        <v>3159.3859245956105</v>
      </c>
      <c r="G157" s="21">
        <f t="shared" si="14"/>
        <v>20808.546424081349</v>
      </c>
      <c r="H157" s="16">
        <f t="shared" si="10"/>
        <v>1630726.1045069199</v>
      </c>
    </row>
    <row r="158" spans="4:8" x14ac:dyDescent="0.25">
      <c r="D158" s="18">
        <f t="shared" si="11"/>
        <v>156</v>
      </c>
      <c r="E158" s="19">
        <f t="shared" si="12"/>
        <v>17682.988057109753</v>
      </c>
      <c r="F158" s="20">
        <f t="shared" si="13"/>
        <v>3125.5583669715961</v>
      </c>
      <c r="G158" s="21">
        <f t="shared" si="14"/>
        <v>20808.546424081349</v>
      </c>
      <c r="H158" s="16">
        <f t="shared" si="10"/>
        <v>1613043.1164498101</v>
      </c>
    </row>
    <row r="159" spans="4:8" x14ac:dyDescent="0.25">
      <c r="D159" s="18">
        <f t="shared" si="11"/>
        <v>157</v>
      </c>
      <c r="E159" s="19">
        <f t="shared" si="12"/>
        <v>17716.880450885881</v>
      </c>
      <c r="F159" s="20">
        <f t="shared" si="13"/>
        <v>3091.6659731954692</v>
      </c>
      <c r="G159" s="21">
        <f t="shared" si="14"/>
        <v>20808.546424081349</v>
      </c>
      <c r="H159" s="16">
        <f t="shared" si="10"/>
        <v>1595326.2359989241</v>
      </c>
    </row>
    <row r="160" spans="4:8" x14ac:dyDescent="0.25">
      <c r="D160" s="18">
        <f t="shared" si="11"/>
        <v>158</v>
      </c>
      <c r="E160" s="19">
        <f t="shared" si="12"/>
        <v>17750.837805083411</v>
      </c>
      <c r="F160" s="20">
        <f t="shared" si="13"/>
        <v>3057.7086189979377</v>
      </c>
      <c r="G160" s="21">
        <f t="shared" si="14"/>
        <v>20808.546424081349</v>
      </c>
      <c r="H160" s="16">
        <f t="shared" si="10"/>
        <v>1577575.3981938406</v>
      </c>
    </row>
    <row r="161" spans="4:8" x14ac:dyDescent="0.25">
      <c r="D161" s="18">
        <f t="shared" si="11"/>
        <v>159</v>
      </c>
      <c r="E161" s="19">
        <f t="shared" si="12"/>
        <v>17784.86024420982</v>
      </c>
      <c r="F161" s="20">
        <f t="shared" si="13"/>
        <v>3023.6861798715277</v>
      </c>
      <c r="G161" s="21">
        <f t="shared" si="14"/>
        <v>20808.546424081349</v>
      </c>
      <c r="H161" s="16">
        <f t="shared" si="10"/>
        <v>1559790.5379496308</v>
      </c>
    </row>
    <row r="162" spans="4:8" x14ac:dyDescent="0.25">
      <c r="D162" s="18">
        <f t="shared" si="11"/>
        <v>160</v>
      </c>
      <c r="E162" s="19">
        <f t="shared" si="12"/>
        <v>17818.947893011224</v>
      </c>
      <c r="F162" s="20">
        <f t="shared" si="13"/>
        <v>2989.5985310701253</v>
      </c>
      <c r="G162" s="21">
        <f t="shared" si="14"/>
        <v>20808.546424081349</v>
      </c>
      <c r="H162" s="16">
        <f t="shared" si="10"/>
        <v>1541971.5900566196</v>
      </c>
    </row>
    <row r="163" spans="4:8" x14ac:dyDescent="0.25">
      <c r="D163" s="18">
        <f t="shared" si="11"/>
        <v>161</v>
      </c>
      <c r="E163" s="19">
        <f t="shared" si="12"/>
        <v>17853.100876472829</v>
      </c>
      <c r="F163" s="20">
        <f t="shared" si="13"/>
        <v>2955.4455476085209</v>
      </c>
      <c r="G163" s="21">
        <f t="shared" si="14"/>
        <v>20808.546424081349</v>
      </c>
      <c r="H163" s="16">
        <f t="shared" si="10"/>
        <v>1524118.4891801467</v>
      </c>
    </row>
    <row r="164" spans="4:8" x14ac:dyDescent="0.25">
      <c r="D164" s="18">
        <f t="shared" si="11"/>
        <v>162</v>
      </c>
      <c r="E164" s="19">
        <f t="shared" si="12"/>
        <v>17887.319319819402</v>
      </c>
      <c r="F164" s="20">
        <f t="shared" si="13"/>
        <v>2921.2271042619477</v>
      </c>
      <c r="G164" s="21">
        <f t="shared" si="14"/>
        <v>20808.546424081349</v>
      </c>
      <c r="H164" s="16">
        <f t="shared" si="10"/>
        <v>1506231.1698603274</v>
      </c>
    </row>
    <row r="165" spans="4:8" x14ac:dyDescent="0.25">
      <c r="D165" s="18">
        <f t="shared" si="11"/>
        <v>163</v>
      </c>
      <c r="E165" s="19">
        <f t="shared" si="12"/>
        <v>17921.60334851572</v>
      </c>
      <c r="F165" s="20">
        <f t="shared" si="13"/>
        <v>2886.9430755656272</v>
      </c>
      <c r="G165" s="21">
        <f t="shared" si="14"/>
        <v>20808.546424081349</v>
      </c>
      <c r="H165" s="16">
        <f t="shared" si="10"/>
        <v>1488309.5665118117</v>
      </c>
    </row>
    <row r="166" spans="4:8" x14ac:dyDescent="0.25">
      <c r="D166" s="18">
        <f t="shared" si="11"/>
        <v>164</v>
      </c>
      <c r="E166" s="19">
        <f t="shared" si="12"/>
        <v>17955.953088267044</v>
      </c>
      <c r="F166" s="20">
        <f t="shared" si="13"/>
        <v>2852.5933358143056</v>
      </c>
      <c r="G166" s="21">
        <f t="shared" si="14"/>
        <v>20808.546424081349</v>
      </c>
      <c r="H166" s="16">
        <f t="shared" si="10"/>
        <v>1470353.6134235447</v>
      </c>
    </row>
    <row r="167" spans="4:8" x14ac:dyDescent="0.25">
      <c r="D167" s="18">
        <f t="shared" si="11"/>
        <v>165</v>
      </c>
      <c r="E167" s="19">
        <f t="shared" si="12"/>
        <v>17990.368665019556</v>
      </c>
      <c r="F167" s="20">
        <f t="shared" si="13"/>
        <v>2818.1777590617939</v>
      </c>
      <c r="G167" s="21">
        <f t="shared" si="14"/>
        <v>20808.546424081349</v>
      </c>
      <c r="H167" s="16">
        <f t="shared" si="10"/>
        <v>1452363.2447585252</v>
      </c>
    </row>
    <row r="168" spans="4:8" x14ac:dyDescent="0.25">
      <c r="D168" s="18">
        <f t="shared" si="11"/>
        <v>166</v>
      </c>
      <c r="E168" s="19">
        <f t="shared" si="12"/>
        <v>18024.850204960843</v>
      </c>
      <c r="F168" s="20">
        <f t="shared" si="13"/>
        <v>2783.6962191205066</v>
      </c>
      <c r="G168" s="21">
        <f t="shared" si="14"/>
        <v>20808.546424081349</v>
      </c>
      <c r="H168" s="16">
        <f t="shared" si="10"/>
        <v>1434338.3945535643</v>
      </c>
    </row>
    <row r="169" spans="4:8" x14ac:dyDescent="0.25">
      <c r="D169" s="18">
        <f t="shared" si="11"/>
        <v>167</v>
      </c>
      <c r="E169" s="19">
        <f t="shared" si="12"/>
        <v>18059.39783452035</v>
      </c>
      <c r="F169" s="20">
        <f t="shared" si="13"/>
        <v>2749.1485895609981</v>
      </c>
      <c r="G169" s="21">
        <f t="shared" si="14"/>
        <v>20808.546424081349</v>
      </c>
      <c r="H169" s="16">
        <f t="shared" si="10"/>
        <v>1416278.9967190439</v>
      </c>
    </row>
    <row r="170" spans="4:8" x14ac:dyDescent="0.25">
      <c r="D170" s="18">
        <f t="shared" si="11"/>
        <v>168</v>
      </c>
      <c r="E170" s="19">
        <f t="shared" si="12"/>
        <v>18094.011680369847</v>
      </c>
      <c r="F170" s="20">
        <f t="shared" si="13"/>
        <v>2714.5347437115006</v>
      </c>
      <c r="G170" s="21">
        <f t="shared" si="14"/>
        <v>20808.546424081349</v>
      </c>
      <c r="H170" s="16">
        <f t="shared" si="10"/>
        <v>1398184.985038674</v>
      </c>
    </row>
    <row r="171" spans="4:8" x14ac:dyDescent="0.25">
      <c r="D171" s="18">
        <f t="shared" si="11"/>
        <v>169</v>
      </c>
      <c r="E171" s="19">
        <f t="shared" si="12"/>
        <v>18128.691869423892</v>
      </c>
      <c r="F171" s="20">
        <f t="shared" si="13"/>
        <v>2679.8545546574583</v>
      </c>
      <c r="G171" s="21">
        <f t="shared" si="14"/>
        <v>20808.546424081349</v>
      </c>
      <c r="H171" s="16">
        <f t="shared" si="10"/>
        <v>1380056.29316925</v>
      </c>
    </row>
    <row r="172" spans="4:8" x14ac:dyDescent="0.25">
      <c r="D172" s="18">
        <f t="shared" si="11"/>
        <v>170</v>
      </c>
      <c r="E172" s="19">
        <f t="shared" si="12"/>
        <v>18163.438528840285</v>
      </c>
      <c r="F172" s="20">
        <f t="shared" si="13"/>
        <v>2645.1078952410626</v>
      </c>
      <c r="G172" s="21">
        <f t="shared" si="14"/>
        <v>20808.546424081345</v>
      </c>
      <c r="H172" s="16">
        <f t="shared" si="10"/>
        <v>1361892.8546404098</v>
      </c>
    </row>
    <row r="173" spans="4:8" x14ac:dyDescent="0.25">
      <c r="D173" s="18">
        <f t="shared" si="11"/>
        <v>171</v>
      </c>
      <c r="E173" s="19">
        <f t="shared" si="12"/>
        <v>18198.251786020563</v>
      </c>
      <c r="F173" s="20">
        <f t="shared" si="13"/>
        <v>2610.2946380607855</v>
      </c>
      <c r="G173" s="21">
        <f t="shared" si="14"/>
        <v>20808.546424081349</v>
      </c>
      <c r="H173" s="16">
        <f t="shared" si="10"/>
        <v>1343694.6028543892</v>
      </c>
    </row>
    <row r="174" spans="4:8" x14ac:dyDescent="0.25">
      <c r="D174" s="18">
        <f t="shared" si="11"/>
        <v>172</v>
      </c>
      <c r="E174" s="19">
        <f t="shared" si="12"/>
        <v>18233.131768610438</v>
      </c>
      <c r="F174" s="20">
        <f t="shared" si="13"/>
        <v>2575.4146554709127</v>
      </c>
      <c r="G174" s="21">
        <f t="shared" si="14"/>
        <v>20808.546424081349</v>
      </c>
      <c r="H174" s="16">
        <f t="shared" si="10"/>
        <v>1325461.4710857789</v>
      </c>
    </row>
    <row r="175" spans="4:8" x14ac:dyDescent="0.25">
      <c r="D175" s="18">
        <f t="shared" si="11"/>
        <v>173</v>
      </c>
      <c r="E175" s="19">
        <f t="shared" si="12"/>
        <v>18268.078604500271</v>
      </c>
      <c r="F175" s="20">
        <f t="shared" si="13"/>
        <v>2540.4678195810761</v>
      </c>
      <c r="G175" s="21">
        <f t="shared" si="14"/>
        <v>20808.546424081349</v>
      </c>
      <c r="H175" s="16">
        <f t="shared" si="10"/>
        <v>1307193.3924812786</v>
      </c>
    </row>
    <row r="176" spans="4:8" x14ac:dyDescent="0.25">
      <c r="D176" s="18">
        <f t="shared" si="11"/>
        <v>174</v>
      </c>
      <c r="E176" s="19">
        <f t="shared" si="12"/>
        <v>18303.092421825564</v>
      </c>
      <c r="F176" s="20">
        <f t="shared" si="13"/>
        <v>2505.454002255784</v>
      </c>
      <c r="G176" s="21">
        <f t="shared" si="14"/>
        <v>20808.546424081349</v>
      </c>
      <c r="H176" s="16">
        <f t="shared" si="10"/>
        <v>1288890.3000594531</v>
      </c>
    </row>
    <row r="177" spans="4:8" x14ac:dyDescent="0.25">
      <c r="D177" s="18">
        <f t="shared" si="11"/>
        <v>175</v>
      </c>
      <c r="E177" s="19">
        <f t="shared" si="12"/>
        <v>18338.173348967397</v>
      </c>
      <c r="F177" s="20">
        <f t="shared" si="13"/>
        <v>2470.3730751139515</v>
      </c>
      <c r="G177" s="21">
        <f t="shared" si="14"/>
        <v>20808.546424081349</v>
      </c>
      <c r="H177" s="16">
        <f t="shared" si="10"/>
        <v>1270552.1267104857</v>
      </c>
    </row>
    <row r="178" spans="4:8" x14ac:dyDescent="0.25">
      <c r="D178" s="18">
        <f t="shared" si="11"/>
        <v>176</v>
      </c>
      <c r="E178" s="19">
        <f t="shared" si="12"/>
        <v>18373.321514552918</v>
      </c>
      <c r="F178" s="20">
        <f t="shared" si="13"/>
        <v>2435.2249095284305</v>
      </c>
      <c r="G178" s="21">
        <f t="shared" si="14"/>
        <v>20808.546424081349</v>
      </c>
      <c r="H178" s="16">
        <f t="shared" si="10"/>
        <v>1252178.8051959327</v>
      </c>
    </row>
    <row r="179" spans="4:8" x14ac:dyDescent="0.25">
      <c r="D179" s="18">
        <f t="shared" si="11"/>
        <v>177</v>
      </c>
      <c r="E179" s="19">
        <f t="shared" si="12"/>
        <v>18408.537047455811</v>
      </c>
      <c r="F179" s="20">
        <f t="shared" si="13"/>
        <v>2400.0093766255377</v>
      </c>
      <c r="G179" s="21">
        <f t="shared" si="14"/>
        <v>20808.546424081349</v>
      </c>
      <c r="H179" s="16">
        <f t="shared" si="10"/>
        <v>1233770.268148477</v>
      </c>
    </row>
    <row r="180" spans="4:8" x14ac:dyDescent="0.25">
      <c r="D180" s="18">
        <f t="shared" si="11"/>
        <v>178</v>
      </c>
      <c r="E180" s="19">
        <f t="shared" si="12"/>
        <v>18443.820076796768</v>
      </c>
      <c r="F180" s="20">
        <f t="shared" si="13"/>
        <v>2364.7263472845807</v>
      </c>
      <c r="G180" s="21">
        <f t="shared" si="14"/>
        <v>20808.546424081349</v>
      </c>
      <c r="H180" s="16">
        <f t="shared" si="10"/>
        <v>1215326.4480716803</v>
      </c>
    </row>
    <row r="181" spans="4:8" x14ac:dyDescent="0.25">
      <c r="D181" s="18">
        <f t="shared" si="11"/>
        <v>179</v>
      </c>
      <c r="E181" s="19">
        <f t="shared" si="12"/>
        <v>18479.170731943963</v>
      </c>
      <c r="F181" s="20">
        <f t="shared" si="13"/>
        <v>2329.375692137387</v>
      </c>
      <c r="G181" s="21">
        <f t="shared" si="14"/>
        <v>20808.546424081349</v>
      </c>
      <c r="H181" s="16">
        <f t="shared" si="10"/>
        <v>1196847.2773397362</v>
      </c>
    </row>
    <row r="182" spans="4:8" x14ac:dyDescent="0.25">
      <c r="D182" s="18">
        <f t="shared" si="11"/>
        <v>180</v>
      </c>
      <c r="E182" s="19">
        <f t="shared" si="12"/>
        <v>18514.58914251352</v>
      </c>
      <c r="F182" s="20">
        <f t="shared" si="13"/>
        <v>2293.9572815678275</v>
      </c>
      <c r="G182" s="21">
        <f t="shared" si="14"/>
        <v>20808.546424081345</v>
      </c>
      <c r="H182" s="16">
        <f t="shared" si="10"/>
        <v>1178332.6881972228</v>
      </c>
    </row>
    <row r="183" spans="4:8" x14ac:dyDescent="0.25">
      <c r="D183" s="18">
        <f t="shared" si="11"/>
        <v>181</v>
      </c>
      <c r="E183" s="19">
        <f t="shared" si="12"/>
        <v>18550.075438370004</v>
      </c>
      <c r="F183" s="20">
        <f t="shared" si="13"/>
        <v>2258.4709857113435</v>
      </c>
      <c r="G183" s="21">
        <f t="shared" si="14"/>
        <v>20808.546424081349</v>
      </c>
      <c r="H183" s="16">
        <f t="shared" si="10"/>
        <v>1159782.6127588528</v>
      </c>
    </row>
    <row r="184" spans="4:8" x14ac:dyDescent="0.25">
      <c r="D184" s="18">
        <f t="shared" si="11"/>
        <v>182</v>
      </c>
      <c r="E184" s="19">
        <f t="shared" si="12"/>
        <v>18585.629749626882</v>
      </c>
      <c r="F184" s="20">
        <f t="shared" si="13"/>
        <v>2222.9166744544677</v>
      </c>
      <c r="G184" s="21">
        <f t="shared" si="14"/>
        <v>20808.546424081349</v>
      </c>
      <c r="H184" s="16">
        <f t="shared" si="10"/>
        <v>1141196.9830092259</v>
      </c>
    </row>
    <row r="185" spans="4:8" x14ac:dyDescent="0.25">
      <c r="D185" s="18">
        <f t="shared" si="11"/>
        <v>183</v>
      </c>
      <c r="E185" s="19">
        <f t="shared" si="12"/>
        <v>18621.252206646997</v>
      </c>
      <c r="F185" s="20">
        <f t="shared" si="13"/>
        <v>2187.2942174343498</v>
      </c>
      <c r="G185" s="21">
        <f t="shared" si="14"/>
        <v>20808.546424081345</v>
      </c>
      <c r="H185" s="16">
        <f t="shared" si="10"/>
        <v>1122575.7308025789</v>
      </c>
    </row>
    <row r="186" spans="4:8" x14ac:dyDescent="0.25">
      <c r="D186" s="18">
        <f t="shared" si="11"/>
        <v>184</v>
      </c>
      <c r="E186" s="19">
        <f t="shared" si="12"/>
        <v>18656.942940043074</v>
      </c>
      <c r="F186" s="20">
        <f t="shared" si="13"/>
        <v>2151.6034840382758</v>
      </c>
      <c r="G186" s="21">
        <f t="shared" si="14"/>
        <v>20808.546424081349</v>
      </c>
      <c r="H186" s="16">
        <f t="shared" si="10"/>
        <v>1103918.7878625358</v>
      </c>
    </row>
    <row r="187" spans="4:8" x14ac:dyDescent="0.25">
      <c r="D187" s="18">
        <f t="shared" si="11"/>
        <v>185</v>
      </c>
      <c r="E187" s="19">
        <f t="shared" si="12"/>
        <v>18692.702080678155</v>
      </c>
      <c r="F187" s="20">
        <f t="shared" si="13"/>
        <v>2115.8443434031933</v>
      </c>
      <c r="G187" s="21">
        <f t="shared" si="14"/>
        <v>20808.546424081349</v>
      </c>
      <c r="H187" s="16">
        <f t="shared" si="10"/>
        <v>1085226.0857818576</v>
      </c>
    </row>
    <row r="188" spans="4:8" x14ac:dyDescent="0.25">
      <c r="D188" s="18">
        <f t="shared" si="11"/>
        <v>186</v>
      </c>
      <c r="E188" s="19">
        <f t="shared" si="12"/>
        <v>18728.529759666122</v>
      </c>
      <c r="F188" s="20">
        <f t="shared" si="13"/>
        <v>2080.0166644152268</v>
      </c>
      <c r="G188" s="21">
        <f t="shared" si="14"/>
        <v>20808.546424081349</v>
      </c>
      <c r="H188" s="16">
        <f t="shared" si="10"/>
        <v>1066497.5560221914</v>
      </c>
    </row>
    <row r="189" spans="4:8" x14ac:dyDescent="0.25">
      <c r="D189" s="18">
        <f t="shared" si="11"/>
        <v>187</v>
      </c>
      <c r="E189" s="19">
        <f t="shared" si="12"/>
        <v>18764.42610837215</v>
      </c>
      <c r="F189" s="20">
        <f t="shared" si="13"/>
        <v>2044.1203157092002</v>
      </c>
      <c r="G189" s="21">
        <f t="shared" si="14"/>
        <v>20808.546424081349</v>
      </c>
      <c r="H189" s="16">
        <f t="shared" si="10"/>
        <v>1047733.1299138193</v>
      </c>
    </row>
    <row r="190" spans="4:8" x14ac:dyDescent="0.25">
      <c r="D190" s="18">
        <f t="shared" si="11"/>
        <v>188</v>
      </c>
      <c r="E190" s="19">
        <f t="shared" si="12"/>
        <v>18800.391258413194</v>
      </c>
      <c r="F190" s="20">
        <f t="shared" si="13"/>
        <v>2008.1551656681534</v>
      </c>
      <c r="G190" s="21">
        <f t="shared" si="14"/>
        <v>20808.546424081349</v>
      </c>
      <c r="H190" s="16">
        <f t="shared" si="10"/>
        <v>1028932.7386554061</v>
      </c>
    </row>
    <row r="191" spans="4:8" x14ac:dyDescent="0.25">
      <c r="D191" s="18">
        <f t="shared" si="11"/>
        <v>189</v>
      </c>
      <c r="E191" s="19">
        <f t="shared" si="12"/>
        <v>18836.425341658487</v>
      </c>
      <c r="F191" s="20">
        <f t="shared" si="13"/>
        <v>1972.1210824228615</v>
      </c>
      <c r="G191" s="21">
        <f t="shared" si="14"/>
        <v>20808.546424081349</v>
      </c>
      <c r="H191" s="16">
        <f t="shared" si="10"/>
        <v>1010096.3133137475</v>
      </c>
    </row>
    <row r="192" spans="4:8" x14ac:dyDescent="0.25">
      <c r="D192" s="18">
        <f t="shared" si="11"/>
        <v>190</v>
      </c>
      <c r="E192" s="19">
        <f t="shared" si="12"/>
        <v>18872.528490230001</v>
      </c>
      <c r="F192" s="20">
        <f t="shared" si="13"/>
        <v>1936.0179338513494</v>
      </c>
      <c r="G192" s="21">
        <f t="shared" si="14"/>
        <v>20808.546424081349</v>
      </c>
      <c r="H192" s="16">
        <f t="shared" si="10"/>
        <v>991223.78482351755</v>
      </c>
    </row>
    <row r="193" spans="4:8" x14ac:dyDescent="0.25">
      <c r="D193" s="18">
        <f t="shared" si="11"/>
        <v>191</v>
      </c>
      <c r="E193" s="19">
        <f t="shared" si="12"/>
        <v>18908.70083650294</v>
      </c>
      <c r="F193" s="20">
        <f t="shared" si="13"/>
        <v>1899.8455875784086</v>
      </c>
      <c r="G193" s="21">
        <f t="shared" si="14"/>
        <v>20808.546424081349</v>
      </c>
      <c r="H193" s="16">
        <f t="shared" si="10"/>
        <v>972315.0839870146</v>
      </c>
    </row>
    <row r="194" spans="4:8" x14ac:dyDescent="0.25">
      <c r="D194" s="18">
        <f t="shared" si="11"/>
        <v>192</v>
      </c>
      <c r="E194" s="19">
        <f t="shared" si="12"/>
        <v>18944.942513106238</v>
      </c>
      <c r="F194" s="20">
        <f t="shared" si="13"/>
        <v>1863.6039109751111</v>
      </c>
      <c r="G194" s="21">
        <f t="shared" si="14"/>
        <v>20808.546424081349</v>
      </c>
      <c r="H194" s="16">
        <f t="shared" si="10"/>
        <v>953370.14147390833</v>
      </c>
    </row>
    <row r="195" spans="4:8" x14ac:dyDescent="0.25">
      <c r="D195" s="18">
        <f t="shared" si="11"/>
        <v>193</v>
      </c>
      <c r="E195" s="19">
        <f t="shared" si="12"/>
        <v>18981.253652923024</v>
      </c>
      <c r="F195" s="20">
        <f t="shared" si="13"/>
        <v>1827.2927711583243</v>
      </c>
      <c r="G195" s="21">
        <f t="shared" si="14"/>
        <v>20808.546424081349</v>
      </c>
      <c r="H195" s="16">
        <f t="shared" ref="H195:H242" si="15">H194-E195</f>
        <v>934388.88782098528</v>
      </c>
    </row>
    <row r="196" spans="4:8" x14ac:dyDescent="0.25">
      <c r="D196" s="18">
        <f t="shared" ref="D196:D242" si="16">D195+1</f>
        <v>194</v>
      </c>
      <c r="E196" s="19">
        <f t="shared" ref="E196:E242" si="17">$B$5-F196</f>
        <v>19017.634389091127</v>
      </c>
      <c r="F196" s="20">
        <f t="shared" ref="F196:F242" si="18">H195*($B$2/12)</f>
        <v>1790.9120349902216</v>
      </c>
      <c r="G196" s="21">
        <f t="shared" ref="G196:G242" si="19">E196+F196</f>
        <v>20808.546424081349</v>
      </c>
      <c r="H196" s="16">
        <f t="shared" si="15"/>
        <v>915371.25343189412</v>
      </c>
    </row>
    <row r="197" spans="4:8" x14ac:dyDescent="0.25">
      <c r="D197" s="18">
        <f t="shared" si="16"/>
        <v>195</v>
      </c>
      <c r="E197" s="19">
        <f t="shared" si="17"/>
        <v>19054.084855003552</v>
      </c>
      <c r="F197" s="20">
        <f t="shared" si="18"/>
        <v>1754.4615690777969</v>
      </c>
      <c r="G197" s="21">
        <f t="shared" si="19"/>
        <v>20808.546424081349</v>
      </c>
      <c r="H197" s="16">
        <f t="shared" si="15"/>
        <v>896317.1685768906</v>
      </c>
    </row>
    <row r="198" spans="4:8" x14ac:dyDescent="0.25">
      <c r="D198" s="18">
        <f t="shared" si="16"/>
        <v>196</v>
      </c>
      <c r="E198" s="19">
        <f t="shared" si="17"/>
        <v>19090.605184308974</v>
      </c>
      <c r="F198" s="20">
        <f t="shared" si="18"/>
        <v>1717.9412397723736</v>
      </c>
      <c r="G198" s="21">
        <f t="shared" si="19"/>
        <v>20808.546424081345</v>
      </c>
      <c r="H198" s="16">
        <f t="shared" si="15"/>
        <v>877226.56339258165</v>
      </c>
    </row>
    <row r="199" spans="4:8" x14ac:dyDescent="0.25">
      <c r="D199" s="18">
        <f t="shared" si="16"/>
        <v>197</v>
      </c>
      <c r="E199" s="19">
        <f t="shared" si="17"/>
        <v>19127.195510912235</v>
      </c>
      <c r="F199" s="20">
        <f t="shared" si="18"/>
        <v>1681.3509131691148</v>
      </c>
      <c r="G199" s="21">
        <f t="shared" si="19"/>
        <v>20808.546424081349</v>
      </c>
      <c r="H199" s="16">
        <f t="shared" si="15"/>
        <v>858099.36788166943</v>
      </c>
    </row>
    <row r="200" spans="4:8" x14ac:dyDescent="0.25">
      <c r="D200" s="18">
        <f t="shared" si="16"/>
        <v>198</v>
      </c>
      <c r="E200" s="19">
        <f t="shared" si="17"/>
        <v>19163.855968974814</v>
      </c>
      <c r="F200" s="20">
        <f t="shared" si="18"/>
        <v>1644.6904551065329</v>
      </c>
      <c r="G200" s="21">
        <f t="shared" si="19"/>
        <v>20808.546424081349</v>
      </c>
      <c r="H200" s="16">
        <f t="shared" si="15"/>
        <v>838935.51191269467</v>
      </c>
    </row>
    <row r="201" spans="4:8" x14ac:dyDescent="0.25">
      <c r="D201" s="18">
        <f t="shared" si="16"/>
        <v>199</v>
      </c>
      <c r="E201" s="19">
        <f t="shared" si="17"/>
        <v>19200.586692915353</v>
      </c>
      <c r="F201" s="20">
        <f t="shared" si="18"/>
        <v>1607.9597311659979</v>
      </c>
      <c r="G201" s="21">
        <f t="shared" si="19"/>
        <v>20808.546424081349</v>
      </c>
      <c r="H201" s="16">
        <f t="shared" si="15"/>
        <v>819734.92521977937</v>
      </c>
    </row>
    <row r="202" spans="4:8" x14ac:dyDescent="0.25">
      <c r="D202" s="18">
        <f t="shared" si="16"/>
        <v>200</v>
      </c>
      <c r="E202" s="19">
        <f t="shared" si="17"/>
        <v>19237.387817410105</v>
      </c>
      <c r="F202" s="20">
        <f t="shared" si="18"/>
        <v>1571.1586066712437</v>
      </c>
      <c r="G202" s="21">
        <f t="shared" si="19"/>
        <v>20808.546424081349</v>
      </c>
      <c r="H202" s="16">
        <f t="shared" si="15"/>
        <v>800497.53740236931</v>
      </c>
    </row>
    <row r="203" spans="4:8" x14ac:dyDescent="0.25">
      <c r="D203" s="18">
        <f t="shared" si="16"/>
        <v>201</v>
      </c>
      <c r="E203" s="19">
        <f t="shared" si="17"/>
        <v>19274.259477393476</v>
      </c>
      <c r="F203" s="20">
        <f t="shared" si="18"/>
        <v>1534.2869466878744</v>
      </c>
      <c r="G203" s="21">
        <f t="shared" si="19"/>
        <v>20808.546424081349</v>
      </c>
      <c r="H203" s="16">
        <f t="shared" si="15"/>
        <v>781223.27792497585</v>
      </c>
    </row>
    <row r="204" spans="4:8" x14ac:dyDescent="0.25">
      <c r="D204" s="18">
        <f t="shared" si="16"/>
        <v>202</v>
      </c>
      <c r="E204" s="19">
        <f t="shared" si="17"/>
        <v>19311.201808058478</v>
      </c>
      <c r="F204" s="20">
        <f t="shared" si="18"/>
        <v>1497.3446160228702</v>
      </c>
      <c r="G204" s="21">
        <f t="shared" si="19"/>
        <v>20808.546424081349</v>
      </c>
      <c r="H204" s="16">
        <f t="shared" si="15"/>
        <v>761912.07611691742</v>
      </c>
    </row>
    <row r="205" spans="4:8" x14ac:dyDescent="0.25">
      <c r="D205" s="18">
        <f t="shared" si="16"/>
        <v>203</v>
      </c>
      <c r="E205" s="19">
        <f t="shared" si="17"/>
        <v>19348.214944857256</v>
      </c>
      <c r="F205" s="20">
        <f t="shared" si="18"/>
        <v>1460.3314792240917</v>
      </c>
      <c r="G205" s="21">
        <f t="shared" si="19"/>
        <v>20808.546424081349</v>
      </c>
      <c r="H205" s="16">
        <f t="shared" si="15"/>
        <v>742563.86117206013</v>
      </c>
    </row>
    <row r="206" spans="4:8" x14ac:dyDescent="0.25">
      <c r="D206" s="18">
        <f t="shared" si="16"/>
        <v>204</v>
      </c>
      <c r="E206" s="19">
        <f t="shared" si="17"/>
        <v>19385.299023501568</v>
      </c>
      <c r="F206" s="20">
        <f t="shared" si="18"/>
        <v>1423.2474005797819</v>
      </c>
      <c r="G206" s="21">
        <f t="shared" si="19"/>
        <v>20808.546424081349</v>
      </c>
      <c r="H206" s="16">
        <f t="shared" si="15"/>
        <v>723178.56214855856</v>
      </c>
    </row>
    <row r="207" spans="4:8" x14ac:dyDescent="0.25">
      <c r="D207" s="18">
        <f t="shared" si="16"/>
        <v>205</v>
      </c>
      <c r="E207" s="19">
        <f t="shared" si="17"/>
        <v>19422.454179963279</v>
      </c>
      <c r="F207" s="20">
        <f t="shared" si="18"/>
        <v>1386.0922441180705</v>
      </c>
      <c r="G207" s="21">
        <f t="shared" si="19"/>
        <v>20808.546424081349</v>
      </c>
      <c r="H207" s="16">
        <f t="shared" si="15"/>
        <v>703756.10796859523</v>
      </c>
    </row>
    <row r="208" spans="4:8" x14ac:dyDescent="0.25">
      <c r="D208" s="18">
        <f t="shared" si="16"/>
        <v>206</v>
      </c>
      <c r="E208" s="19">
        <f t="shared" si="17"/>
        <v>19459.680550474874</v>
      </c>
      <c r="F208" s="20">
        <f t="shared" si="18"/>
        <v>1348.8658736064742</v>
      </c>
      <c r="G208" s="21">
        <f t="shared" si="19"/>
        <v>20808.546424081349</v>
      </c>
      <c r="H208" s="16">
        <f t="shared" si="15"/>
        <v>684296.42741812032</v>
      </c>
    </row>
    <row r="209" spans="4:8" x14ac:dyDescent="0.25">
      <c r="D209" s="18">
        <f t="shared" si="16"/>
        <v>207</v>
      </c>
      <c r="E209" s="19">
        <f t="shared" si="17"/>
        <v>19496.978271529952</v>
      </c>
      <c r="F209" s="20">
        <f t="shared" si="18"/>
        <v>1311.5681525513971</v>
      </c>
      <c r="G209" s="21">
        <f t="shared" si="19"/>
        <v>20808.546424081349</v>
      </c>
      <c r="H209" s="16">
        <f t="shared" si="15"/>
        <v>664799.44914659043</v>
      </c>
    </row>
    <row r="210" spans="4:8" x14ac:dyDescent="0.25">
      <c r="D210" s="18">
        <f t="shared" si="16"/>
        <v>208</v>
      </c>
      <c r="E210" s="19">
        <f t="shared" si="17"/>
        <v>19534.347479883716</v>
      </c>
      <c r="F210" s="20">
        <f t="shared" si="18"/>
        <v>1274.1989441976316</v>
      </c>
      <c r="G210" s="21">
        <f t="shared" si="19"/>
        <v>20808.546424081349</v>
      </c>
      <c r="H210" s="16">
        <f t="shared" si="15"/>
        <v>645265.10166670673</v>
      </c>
    </row>
    <row r="211" spans="4:8" x14ac:dyDescent="0.25">
      <c r="D211" s="18">
        <f t="shared" si="16"/>
        <v>209</v>
      </c>
      <c r="E211" s="19">
        <f t="shared" si="17"/>
        <v>19571.788312553494</v>
      </c>
      <c r="F211" s="20">
        <f t="shared" si="18"/>
        <v>1236.7581115278545</v>
      </c>
      <c r="G211" s="21">
        <f t="shared" si="19"/>
        <v>20808.546424081349</v>
      </c>
      <c r="H211" s="16">
        <f t="shared" si="15"/>
        <v>625693.31335415319</v>
      </c>
    </row>
    <row r="212" spans="4:8" x14ac:dyDescent="0.25">
      <c r="D212" s="18">
        <f t="shared" si="16"/>
        <v>210</v>
      </c>
      <c r="E212" s="19">
        <f t="shared" si="17"/>
        <v>19609.300906819222</v>
      </c>
      <c r="F212" s="20">
        <f t="shared" si="18"/>
        <v>1199.2455172621269</v>
      </c>
      <c r="G212" s="21">
        <f t="shared" si="19"/>
        <v>20808.546424081349</v>
      </c>
      <c r="H212" s="16">
        <f t="shared" si="15"/>
        <v>606084.01244733401</v>
      </c>
    </row>
    <row r="213" spans="4:8" x14ac:dyDescent="0.25">
      <c r="D213" s="18">
        <f t="shared" si="16"/>
        <v>211</v>
      </c>
      <c r="E213" s="19">
        <f t="shared" si="17"/>
        <v>19646.88540022396</v>
      </c>
      <c r="F213" s="20">
        <f t="shared" si="18"/>
        <v>1161.6610238573901</v>
      </c>
      <c r="G213" s="21">
        <f t="shared" si="19"/>
        <v>20808.546424081349</v>
      </c>
      <c r="H213" s="16">
        <f t="shared" si="15"/>
        <v>586437.12704711</v>
      </c>
    </row>
    <row r="214" spans="4:8" x14ac:dyDescent="0.25">
      <c r="D214" s="18">
        <f t="shared" si="16"/>
        <v>212</v>
      </c>
      <c r="E214" s="19">
        <f t="shared" si="17"/>
        <v>19684.541930574389</v>
      </c>
      <c r="F214" s="20">
        <f t="shared" si="18"/>
        <v>1124.0044935069607</v>
      </c>
      <c r="G214" s="21">
        <f t="shared" si="19"/>
        <v>20808.546424081349</v>
      </c>
      <c r="H214" s="16">
        <f t="shared" si="15"/>
        <v>566752.58511653566</v>
      </c>
    </row>
    <row r="215" spans="4:8" x14ac:dyDescent="0.25">
      <c r="D215" s="18">
        <f t="shared" si="16"/>
        <v>213</v>
      </c>
      <c r="E215" s="19">
        <f t="shared" si="17"/>
        <v>19722.270635941321</v>
      </c>
      <c r="F215" s="20">
        <f t="shared" si="18"/>
        <v>1086.2757881400266</v>
      </c>
      <c r="G215" s="21">
        <f t="shared" si="19"/>
        <v>20808.546424081345</v>
      </c>
      <c r="H215" s="16">
        <f t="shared" si="15"/>
        <v>547030.31448059436</v>
      </c>
    </row>
    <row r="216" spans="4:8" x14ac:dyDescent="0.25">
      <c r="D216" s="18">
        <f t="shared" si="16"/>
        <v>214</v>
      </c>
      <c r="E216" s="19">
        <f t="shared" si="17"/>
        <v>19760.071654660209</v>
      </c>
      <c r="F216" s="20">
        <f t="shared" si="18"/>
        <v>1048.4747694211392</v>
      </c>
      <c r="G216" s="21">
        <f t="shared" si="19"/>
        <v>20808.546424081349</v>
      </c>
      <c r="H216" s="16">
        <f t="shared" si="15"/>
        <v>527270.2428259342</v>
      </c>
    </row>
    <row r="217" spans="4:8" x14ac:dyDescent="0.25">
      <c r="D217" s="18">
        <f t="shared" si="16"/>
        <v>215</v>
      </c>
      <c r="E217" s="19">
        <f t="shared" si="17"/>
        <v>19797.94512533164</v>
      </c>
      <c r="F217" s="20">
        <f t="shared" si="18"/>
        <v>1010.6012987497072</v>
      </c>
      <c r="G217" s="21">
        <f t="shared" si="19"/>
        <v>20808.546424081349</v>
      </c>
      <c r="H217" s="16">
        <f t="shared" si="15"/>
        <v>507472.29770060256</v>
      </c>
    </row>
    <row r="218" spans="4:8" x14ac:dyDescent="0.25">
      <c r="D218" s="18">
        <f t="shared" si="16"/>
        <v>216</v>
      </c>
      <c r="E218" s="19">
        <f t="shared" si="17"/>
        <v>19835.89118682186</v>
      </c>
      <c r="F218" s="20">
        <f t="shared" si="18"/>
        <v>972.65523725948822</v>
      </c>
      <c r="G218" s="21">
        <f t="shared" si="19"/>
        <v>20808.546424081349</v>
      </c>
      <c r="H218" s="16">
        <f t="shared" si="15"/>
        <v>487636.4065137807</v>
      </c>
    </row>
    <row r="219" spans="4:8" x14ac:dyDescent="0.25">
      <c r="D219" s="18">
        <f t="shared" si="16"/>
        <v>217</v>
      </c>
      <c r="E219" s="19">
        <f t="shared" si="17"/>
        <v>19873.909978263269</v>
      </c>
      <c r="F219" s="20">
        <f t="shared" si="18"/>
        <v>934.63644581807966</v>
      </c>
      <c r="G219" s="21">
        <f t="shared" si="19"/>
        <v>20808.546424081349</v>
      </c>
      <c r="H219" s="16">
        <f t="shared" si="15"/>
        <v>467762.49653551745</v>
      </c>
    </row>
    <row r="220" spans="4:8" x14ac:dyDescent="0.25">
      <c r="D220" s="18">
        <f t="shared" si="16"/>
        <v>218</v>
      </c>
      <c r="E220" s="19">
        <f t="shared" si="17"/>
        <v>19912.001639054939</v>
      </c>
      <c r="F220" s="20">
        <f t="shared" si="18"/>
        <v>896.54478502640836</v>
      </c>
      <c r="G220" s="21">
        <f t="shared" si="19"/>
        <v>20808.546424081349</v>
      </c>
      <c r="H220" s="16">
        <f t="shared" si="15"/>
        <v>447850.49489646254</v>
      </c>
    </row>
    <row r="221" spans="4:8" x14ac:dyDescent="0.25">
      <c r="D221" s="18">
        <f t="shared" si="16"/>
        <v>219</v>
      </c>
      <c r="E221" s="19">
        <f t="shared" si="17"/>
        <v>19950.166308863129</v>
      </c>
      <c r="F221" s="20">
        <f t="shared" si="18"/>
        <v>858.38011521821977</v>
      </c>
      <c r="G221" s="21">
        <f t="shared" si="19"/>
        <v>20808.546424081349</v>
      </c>
      <c r="H221" s="16">
        <f t="shared" si="15"/>
        <v>427900.32858759939</v>
      </c>
    </row>
    <row r="222" spans="4:8" x14ac:dyDescent="0.25">
      <c r="D222" s="18">
        <f t="shared" si="16"/>
        <v>220</v>
      </c>
      <c r="E222" s="19">
        <f t="shared" si="17"/>
        <v>19988.404127621783</v>
      </c>
      <c r="F222" s="20">
        <f t="shared" si="18"/>
        <v>820.1422964595655</v>
      </c>
      <c r="G222" s="21">
        <f t="shared" si="19"/>
        <v>20808.546424081349</v>
      </c>
      <c r="H222" s="16">
        <f t="shared" si="15"/>
        <v>407911.9244599776</v>
      </c>
    </row>
    <row r="223" spans="4:8" x14ac:dyDescent="0.25">
      <c r="D223" s="18">
        <f t="shared" si="16"/>
        <v>221</v>
      </c>
      <c r="E223" s="19">
        <f t="shared" si="17"/>
        <v>20026.715235533058</v>
      </c>
      <c r="F223" s="20">
        <f t="shared" si="18"/>
        <v>781.83118854829036</v>
      </c>
      <c r="G223" s="21">
        <f t="shared" si="19"/>
        <v>20808.546424081349</v>
      </c>
      <c r="H223" s="16">
        <f t="shared" si="15"/>
        <v>387885.20922444452</v>
      </c>
    </row>
    <row r="224" spans="4:8" x14ac:dyDescent="0.25">
      <c r="D224" s="18">
        <f t="shared" si="16"/>
        <v>222</v>
      </c>
      <c r="E224" s="19">
        <f t="shared" si="17"/>
        <v>20065.099773067832</v>
      </c>
      <c r="F224" s="20">
        <f t="shared" si="18"/>
        <v>743.44665101351859</v>
      </c>
      <c r="G224" s="21">
        <f t="shared" si="19"/>
        <v>20808.546424081349</v>
      </c>
      <c r="H224" s="16">
        <f t="shared" si="15"/>
        <v>367820.10945137672</v>
      </c>
    </row>
    <row r="225" spans="4:8" x14ac:dyDescent="0.25">
      <c r="D225" s="18">
        <f t="shared" si="16"/>
        <v>223</v>
      </c>
      <c r="E225" s="19">
        <f t="shared" si="17"/>
        <v>20103.557880966211</v>
      </c>
      <c r="F225" s="20">
        <f t="shared" si="18"/>
        <v>704.98854311513867</v>
      </c>
      <c r="G225" s="21">
        <f t="shared" si="19"/>
        <v>20808.546424081349</v>
      </c>
      <c r="H225" s="16">
        <f t="shared" si="15"/>
        <v>347716.55157041049</v>
      </c>
    </row>
    <row r="226" spans="4:8" x14ac:dyDescent="0.25">
      <c r="D226" s="18">
        <f t="shared" si="16"/>
        <v>224</v>
      </c>
      <c r="E226" s="19">
        <f t="shared" si="17"/>
        <v>20142.089700238063</v>
      </c>
      <c r="F226" s="20">
        <f t="shared" si="18"/>
        <v>666.45672384328668</v>
      </c>
      <c r="G226" s="21">
        <f t="shared" si="19"/>
        <v>20808.546424081349</v>
      </c>
      <c r="H226" s="16">
        <f t="shared" si="15"/>
        <v>327574.46187017241</v>
      </c>
    </row>
    <row r="227" spans="4:8" x14ac:dyDescent="0.25">
      <c r="D227" s="18">
        <f t="shared" si="16"/>
        <v>225</v>
      </c>
      <c r="E227" s="19">
        <f t="shared" si="17"/>
        <v>20180.695372163518</v>
      </c>
      <c r="F227" s="20">
        <f t="shared" si="18"/>
        <v>627.85105191783043</v>
      </c>
      <c r="G227" s="21">
        <f t="shared" si="19"/>
        <v>20808.546424081349</v>
      </c>
      <c r="H227" s="16">
        <f t="shared" si="15"/>
        <v>307393.76649800892</v>
      </c>
    </row>
    <row r="228" spans="4:8" x14ac:dyDescent="0.25">
      <c r="D228" s="18">
        <f t="shared" si="16"/>
        <v>226</v>
      </c>
      <c r="E228" s="19">
        <f t="shared" si="17"/>
        <v>20219.3750382935</v>
      </c>
      <c r="F228" s="20">
        <f t="shared" si="18"/>
        <v>589.17138578785034</v>
      </c>
      <c r="G228" s="21">
        <f t="shared" si="19"/>
        <v>20808.546424081349</v>
      </c>
      <c r="H228" s="16">
        <f t="shared" si="15"/>
        <v>287174.39145971544</v>
      </c>
    </row>
    <row r="229" spans="4:8" x14ac:dyDescent="0.25">
      <c r="D229" s="18">
        <f t="shared" si="16"/>
        <v>227</v>
      </c>
      <c r="E229" s="19">
        <f t="shared" si="17"/>
        <v>20258.128840450227</v>
      </c>
      <c r="F229" s="20">
        <f t="shared" si="18"/>
        <v>550.41758363112126</v>
      </c>
      <c r="G229" s="21">
        <f t="shared" si="19"/>
        <v>20808.546424081349</v>
      </c>
      <c r="H229" s="16">
        <f t="shared" si="15"/>
        <v>266916.26261926524</v>
      </c>
    </row>
    <row r="230" spans="4:8" x14ac:dyDescent="0.25">
      <c r="D230" s="18">
        <f t="shared" si="16"/>
        <v>228</v>
      </c>
      <c r="E230" s="19">
        <f t="shared" si="17"/>
        <v>20296.956920727756</v>
      </c>
      <c r="F230" s="20">
        <f t="shared" si="18"/>
        <v>511.58950335359168</v>
      </c>
      <c r="G230" s="21">
        <f t="shared" si="19"/>
        <v>20808.546424081349</v>
      </c>
      <c r="H230" s="16">
        <f t="shared" si="15"/>
        <v>246619.30569853747</v>
      </c>
    </row>
    <row r="231" spans="4:8" x14ac:dyDescent="0.25">
      <c r="D231" s="18">
        <f t="shared" si="16"/>
        <v>229</v>
      </c>
      <c r="E231" s="19">
        <f t="shared" si="17"/>
        <v>20335.859421492485</v>
      </c>
      <c r="F231" s="20">
        <f t="shared" si="18"/>
        <v>472.68700258886344</v>
      </c>
      <c r="G231" s="21">
        <f t="shared" si="19"/>
        <v>20808.546424081349</v>
      </c>
      <c r="H231" s="16">
        <f t="shared" si="15"/>
        <v>226283.44627704498</v>
      </c>
    </row>
    <row r="232" spans="4:8" x14ac:dyDescent="0.25">
      <c r="D232" s="18">
        <f t="shared" si="16"/>
        <v>230</v>
      </c>
      <c r="E232" s="19">
        <f t="shared" si="17"/>
        <v>20374.836485383679</v>
      </c>
      <c r="F232" s="20">
        <f t="shared" si="18"/>
        <v>433.70993869766949</v>
      </c>
      <c r="G232" s="21">
        <f t="shared" si="19"/>
        <v>20808.546424081349</v>
      </c>
      <c r="H232" s="16">
        <f t="shared" si="15"/>
        <v>205908.60979166129</v>
      </c>
    </row>
    <row r="233" spans="4:8" x14ac:dyDescent="0.25">
      <c r="D233" s="18">
        <f t="shared" si="16"/>
        <v>231</v>
      </c>
      <c r="E233" s="19">
        <f t="shared" si="17"/>
        <v>20413.888255313999</v>
      </c>
      <c r="F233" s="20">
        <f t="shared" si="18"/>
        <v>394.65816876735079</v>
      </c>
      <c r="G233" s="21">
        <f t="shared" si="19"/>
        <v>20808.546424081349</v>
      </c>
      <c r="H233" s="16">
        <f t="shared" si="15"/>
        <v>185494.72153634729</v>
      </c>
    </row>
    <row r="234" spans="4:8" x14ac:dyDescent="0.25">
      <c r="D234" s="18">
        <f t="shared" si="16"/>
        <v>232</v>
      </c>
      <c r="E234" s="19">
        <f t="shared" si="17"/>
        <v>20453.014874470016</v>
      </c>
      <c r="F234" s="20">
        <f t="shared" si="18"/>
        <v>355.53154961133231</v>
      </c>
      <c r="G234" s="21">
        <f t="shared" si="19"/>
        <v>20808.546424081349</v>
      </c>
      <c r="H234" s="16">
        <f t="shared" si="15"/>
        <v>165041.70666187728</v>
      </c>
    </row>
    <row r="235" spans="4:8" x14ac:dyDescent="0.25">
      <c r="D235" s="18">
        <f t="shared" si="16"/>
        <v>233</v>
      </c>
      <c r="E235" s="19">
        <f t="shared" si="17"/>
        <v>20492.216486312751</v>
      </c>
      <c r="F235" s="20">
        <f t="shared" si="18"/>
        <v>316.32993776859809</v>
      </c>
      <c r="G235" s="21">
        <f t="shared" si="19"/>
        <v>20808.546424081349</v>
      </c>
      <c r="H235" s="16">
        <f t="shared" si="15"/>
        <v>144549.49017556454</v>
      </c>
    </row>
    <row r="236" spans="4:8" x14ac:dyDescent="0.25">
      <c r="D236" s="18">
        <f t="shared" si="16"/>
        <v>234</v>
      </c>
      <c r="E236" s="19">
        <f t="shared" si="17"/>
        <v>20531.493234578185</v>
      </c>
      <c r="F236" s="20">
        <f t="shared" si="18"/>
        <v>277.05318950316536</v>
      </c>
      <c r="G236" s="21">
        <f t="shared" si="19"/>
        <v>20808.546424081349</v>
      </c>
      <c r="H236" s="16">
        <f t="shared" si="15"/>
        <v>124017.99694098636</v>
      </c>
    </row>
    <row r="237" spans="4:8" x14ac:dyDescent="0.25">
      <c r="D237" s="18">
        <f t="shared" si="16"/>
        <v>235</v>
      </c>
      <c r="E237" s="19">
        <f t="shared" si="17"/>
        <v>20570.845263277792</v>
      </c>
      <c r="F237" s="20">
        <f t="shared" si="18"/>
        <v>237.70116080355717</v>
      </c>
      <c r="G237" s="21">
        <f t="shared" si="19"/>
        <v>20808.546424081349</v>
      </c>
      <c r="H237" s="16">
        <f t="shared" si="15"/>
        <v>103447.15167770856</v>
      </c>
    </row>
    <row r="238" spans="4:8" x14ac:dyDescent="0.25">
      <c r="D238" s="18">
        <f t="shared" si="16"/>
        <v>236</v>
      </c>
      <c r="E238" s="19">
        <f t="shared" si="17"/>
        <v>20610.272716699073</v>
      </c>
      <c r="F238" s="20">
        <f t="shared" si="18"/>
        <v>198.27370738227472</v>
      </c>
      <c r="G238" s="21">
        <f t="shared" si="19"/>
        <v>20808.546424081349</v>
      </c>
      <c r="H238" s="16">
        <f t="shared" si="15"/>
        <v>82836.878961009497</v>
      </c>
    </row>
    <row r="239" spans="4:8" x14ac:dyDescent="0.25">
      <c r="D239" s="18">
        <f t="shared" si="16"/>
        <v>237</v>
      </c>
      <c r="E239" s="19">
        <f t="shared" si="17"/>
        <v>20649.775739406079</v>
      </c>
      <c r="F239" s="20">
        <f t="shared" si="18"/>
        <v>158.7706846752682</v>
      </c>
      <c r="G239" s="21">
        <f t="shared" si="19"/>
        <v>20808.546424081349</v>
      </c>
      <c r="H239" s="16">
        <f t="shared" si="15"/>
        <v>62187.103221603422</v>
      </c>
    </row>
    <row r="240" spans="4:8" x14ac:dyDescent="0.25">
      <c r="D240" s="18">
        <f t="shared" si="16"/>
        <v>238</v>
      </c>
      <c r="E240" s="19">
        <f t="shared" si="17"/>
        <v>20689.354476239943</v>
      </c>
      <c r="F240" s="20">
        <f t="shared" si="18"/>
        <v>119.19194784140655</v>
      </c>
      <c r="G240" s="21">
        <f t="shared" si="19"/>
        <v>20808.546424081349</v>
      </c>
      <c r="H240" s="16">
        <f t="shared" si="15"/>
        <v>41497.748745363482</v>
      </c>
    </row>
    <row r="241" spans="4:8" x14ac:dyDescent="0.25">
      <c r="D241" s="18">
        <f t="shared" si="16"/>
        <v>239</v>
      </c>
      <c r="E241" s="19">
        <f t="shared" si="17"/>
        <v>20729.009072319401</v>
      </c>
      <c r="F241" s="20">
        <f t="shared" si="18"/>
        <v>79.537351761946667</v>
      </c>
      <c r="G241" s="21">
        <f t="shared" si="19"/>
        <v>20808.546424081349</v>
      </c>
      <c r="H241" s="16">
        <f t="shared" si="15"/>
        <v>20768.739673044081</v>
      </c>
    </row>
    <row r="242" spans="4:8" ht="17.25" thickBot="1" x14ac:dyDescent="0.3">
      <c r="D242" s="18">
        <f t="shared" si="16"/>
        <v>240</v>
      </c>
      <c r="E242" s="23">
        <f t="shared" si="17"/>
        <v>20768.739673041349</v>
      </c>
      <c r="F242" s="24">
        <f t="shared" si="18"/>
        <v>39.806751040001153</v>
      </c>
      <c r="G242" s="25">
        <f t="shared" si="19"/>
        <v>20808.546424081349</v>
      </c>
      <c r="H242" s="26">
        <f t="shared" si="15"/>
        <v>2.7321220841258764E-9</v>
      </c>
    </row>
    <row r="243" spans="4:8" x14ac:dyDescent="0.25">
      <c r="F243" s="28"/>
    </row>
    <row r="244" spans="4:8" x14ac:dyDescent="0.25">
      <c r="F244" s="28"/>
    </row>
    <row r="245" spans="4:8" x14ac:dyDescent="0.25">
      <c r="F245" s="28"/>
    </row>
    <row r="246" spans="4:8" x14ac:dyDescent="0.25">
      <c r="F246" s="28"/>
    </row>
    <row r="247" spans="4:8" x14ac:dyDescent="0.25">
      <c r="F247" s="28"/>
    </row>
    <row r="248" spans="4:8" x14ac:dyDescent="0.25">
      <c r="F248" s="28"/>
    </row>
    <row r="249" spans="4:8" x14ac:dyDescent="0.25">
      <c r="F249" s="28"/>
    </row>
    <row r="250" spans="4:8" x14ac:dyDescent="0.25">
      <c r="F250" s="28"/>
    </row>
  </sheetData>
  <protectedRanges>
    <protectedRange sqref="B1:B5" name="範圍1"/>
  </protectedRanges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房貸計算</vt:lpstr>
    </vt:vector>
  </TitlesOfParts>
  <Company>Microsoft Corporation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alexmysir</dc:creator>
  <cp:lastModifiedBy>楊玉文</cp:lastModifiedBy>
  <dcterms:created xsi:type="dcterms:W3CDTF">2010-09-07T06:43:01Z</dcterms:created>
  <dcterms:modified xsi:type="dcterms:W3CDTF">2014-01-19T13:03:33Z</dcterms:modified>
</cp:coreProperties>
</file>