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xcel\Desktop\★ExcelVBA40例\問題19快速製作QR Code通訊錄_OK\案例\"/>
    </mc:Choice>
  </mc:AlternateContent>
  <bookViews>
    <workbookView xWindow="0" yWindow="0" windowWidth="19200" windowHeight="8376"/>
  </bookViews>
  <sheets>
    <sheet name="QRCode" sheetId="2" r:id="rId1"/>
  </sheets>
  <functionGroups builtInGroupCount="18"/>
  <definedNames>
    <definedName name="PATH">GET.DOCUMENT(2)&amp;T(NOW())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2" l="1"/>
  <c r="K5" i="2"/>
  <c r="K4" i="2"/>
  <c r="K7" i="2"/>
  <c r="K3" i="2"/>
  <c r="K6" i="2"/>
  <c r="L5" i="2"/>
  <c r="L3" i="2"/>
  <c r="L7" i="2"/>
  <c r="L6" i="2"/>
  <c r="L4" i="2"/>
  <c r="J4" i="2" l="1"/>
  <c r="J5" i="2"/>
  <c r="J6" i="2"/>
  <c r="J7" i="2"/>
  <c r="J3" i="2"/>
</calcChain>
</file>

<file path=xl/sharedStrings.xml><?xml version="1.0" encoding="utf-8"?>
<sst xmlns="http://schemas.openxmlformats.org/spreadsheetml/2006/main" count="52" uniqueCount="48">
  <si>
    <t>姓名</t>
    <phoneticPr fontId="1" type="noConversion"/>
  </si>
  <si>
    <t>地址</t>
    <phoneticPr fontId="1" type="noConversion"/>
  </si>
  <si>
    <t>電話1</t>
    <phoneticPr fontId="1" type="noConversion"/>
  </si>
  <si>
    <t>電話2</t>
  </si>
  <si>
    <t>電話3</t>
  </si>
  <si>
    <t>電話4</t>
  </si>
  <si>
    <t>電子郵件</t>
    <phoneticPr fontId="1" type="noConversion"/>
  </si>
  <si>
    <t>網址</t>
    <phoneticPr fontId="1" type="noConversion"/>
  </si>
  <si>
    <t>陳小揚</t>
    <phoneticPr fontId="1" type="noConversion"/>
  </si>
  <si>
    <t>+886911223223</t>
    <phoneticPr fontId="1" type="noConversion"/>
  </si>
  <si>
    <t>excel522@hotmail.com</t>
    <phoneticPr fontId="1" type="noConversion"/>
  </si>
  <si>
    <t>http://www.excel.com.tw</t>
    <phoneticPr fontId="1" type="noConversion"/>
  </si>
  <si>
    <t>N:</t>
  </si>
  <si>
    <t>mecard_code</t>
    <phoneticPr fontId="1" type="noConversion"/>
  </si>
  <si>
    <t>;ADR:</t>
    <phoneticPr fontId="1" type="noConversion"/>
  </si>
  <si>
    <t>;TEL:</t>
    <phoneticPr fontId="1" type="noConversion"/>
  </si>
  <si>
    <t>;EMAIL:</t>
    <phoneticPr fontId="1" type="noConversion"/>
  </si>
  <si>
    <t>;URL:</t>
    <phoneticPr fontId="1" type="noConversion"/>
  </si>
  <si>
    <t>qr_code_pic</t>
    <phoneticPr fontId="1" type="noConversion"/>
  </si>
  <si>
    <t>員工編號</t>
    <phoneticPr fontId="1" type="noConversion"/>
  </si>
  <si>
    <t>AE01</t>
    <phoneticPr fontId="1" type="noConversion"/>
  </si>
  <si>
    <t>AE02</t>
  </si>
  <si>
    <t>excel523@hotmail.com</t>
  </si>
  <si>
    <t>AE03</t>
  </si>
  <si>
    <t>excel524@hotmail.com</t>
  </si>
  <si>
    <t>AE04</t>
  </si>
  <si>
    <t>excel525@hotmail.com</t>
  </si>
  <si>
    <t>AE05</t>
  </si>
  <si>
    <t>excel526@hotmail.com</t>
  </si>
  <si>
    <t>張大寶</t>
    <phoneticPr fontId="1" type="noConversion"/>
  </si>
  <si>
    <t>林小明</t>
    <phoneticPr fontId="1" type="noConversion"/>
  </si>
  <si>
    <t>吳小辛</t>
    <phoneticPr fontId="1" type="noConversion"/>
  </si>
  <si>
    <t>張小春</t>
    <phoneticPr fontId="1" type="noConversion"/>
  </si>
  <si>
    <t>+886911223221</t>
    <phoneticPr fontId="1" type="noConversion"/>
  </si>
  <si>
    <t>+886911223226</t>
    <phoneticPr fontId="1" type="noConversion"/>
  </si>
  <si>
    <t>+886911223224</t>
    <phoneticPr fontId="1" type="noConversion"/>
  </si>
  <si>
    <t>http://www.word.com.tw</t>
    <phoneticPr fontId="1" type="noConversion"/>
  </si>
  <si>
    <t>http://www.ppt.com.tw</t>
    <phoneticPr fontId="1" type="noConversion"/>
  </si>
  <si>
    <t>http://www.access.com.tw</t>
    <phoneticPr fontId="1" type="noConversion"/>
  </si>
  <si>
    <t>http://www.outlook.com.tw</t>
    <phoneticPr fontId="1" type="noConversion"/>
  </si>
  <si>
    <t>資料筆數：</t>
    <phoneticPr fontId="1" type="noConversion"/>
  </si>
  <si>
    <t>圖檔路徑</t>
    <phoneticPr fontId="1" type="noConversion"/>
  </si>
  <si>
    <t>圖檔大小：</t>
    <phoneticPr fontId="1" type="noConversion"/>
  </si>
  <si>
    <t>新北市新店區民生路89號12樓</t>
    <phoneticPr fontId="1" type="noConversion"/>
  </si>
  <si>
    <t>新北市新店區民生路89號13樓</t>
  </si>
  <si>
    <t>新北市新店區民生路89號14樓</t>
  </si>
  <si>
    <t>新北市新店區民生路89號15樓</t>
  </si>
  <si>
    <t>新北市新店區民生路89號16樓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</si>
</sst>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u/>
      <sz val="12"/>
      <color theme="1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quotePrefix="1" applyFont="1">
      <alignment vertical="center"/>
    </xf>
    <xf numFmtId="0" fontId="5" fillId="2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4" fillId="3" borderId="0" xfId="0" applyFont="1" applyFill="1">
      <alignment vertical="center"/>
    </xf>
    <xf numFmtId="49" fontId="3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6" fillId="0" borderId="0" xfId="1" applyNumberFormat="1" applyFont="1">
      <alignment vertical="center"/>
    </xf>
    <xf numFmtId="0" fontId="6" fillId="0" borderId="0" xfId="1" applyFo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ppt.com.tw/" TargetMode="External"/><Relationship Id="rId3" Type="http://schemas.openxmlformats.org/officeDocument/2006/relationships/hyperlink" Target="mailto:excel522@hotmail.com" TargetMode="External"/><Relationship Id="rId7" Type="http://schemas.openxmlformats.org/officeDocument/2006/relationships/hyperlink" Target="http://www.word.com.tw/" TargetMode="External"/><Relationship Id="rId2" Type="http://schemas.openxmlformats.org/officeDocument/2006/relationships/hyperlink" Target="http://www.excel.com.tw/" TargetMode="External"/><Relationship Id="rId1" Type="http://schemas.openxmlformats.org/officeDocument/2006/relationships/hyperlink" Target="mailto:excel522@hotmail.com" TargetMode="External"/><Relationship Id="rId6" Type="http://schemas.openxmlformats.org/officeDocument/2006/relationships/hyperlink" Target="mailto:excel522@hotmail.com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mailto:excel522@hotmail.com" TargetMode="External"/><Relationship Id="rId10" Type="http://schemas.openxmlformats.org/officeDocument/2006/relationships/hyperlink" Target="http://www.outlook.com.tw/" TargetMode="External"/><Relationship Id="rId4" Type="http://schemas.openxmlformats.org/officeDocument/2006/relationships/hyperlink" Target="mailto:excel522@hotmail.com" TargetMode="External"/><Relationship Id="rId9" Type="http://schemas.openxmlformats.org/officeDocument/2006/relationships/hyperlink" Target="http://www.access.com.tw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M7"/>
  <sheetViews>
    <sheetView tabSelected="1" workbookViewId="0"/>
  </sheetViews>
  <sheetFormatPr defaultRowHeight="16.2" x14ac:dyDescent="0.3"/>
  <cols>
    <col min="1" max="1" width="11.6640625" customWidth="1"/>
    <col min="2" max="2" width="11.33203125" customWidth="1"/>
    <col min="3" max="3" width="26.21875" bestFit="1" customWidth="1"/>
    <col min="4" max="4" width="14.88671875" customWidth="1"/>
    <col min="5" max="5" width="6.88671875" customWidth="1"/>
    <col min="6" max="6" width="7.33203125" customWidth="1"/>
    <col min="7" max="7" width="7.77734375" customWidth="1"/>
    <col min="8" max="8" width="19.33203125" customWidth="1"/>
    <col min="9" max="9" width="24.21875" bestFit="1" customWidth="1"/>
    <col min="10" max="10" width="11.6640625" customWidth="1"/>
    <col min="11" max="11" width="6.21875" customWidth="1"/>
  </cols>
  <sheetData>
    <row r="1" spans="1:13" ht="37.5" customHeight="1" x14ac:dyDescent="0.3">
      <c r="A1" s="1"/>
      <c r="B1" s="1" t="s">
        <v>12</v>
      </c>
      <c r="C1" s="1" t="s">
        <v>14</v>
      </c>
      <c r="D1" s="1" t="s">
        <v>15</v>
      </c>
      <c r="E1" s="1" t="s">
        <v>15</v>
      </c>
      <c r="F1" s="1" t="s">
        <v>15</v>
      </c>
      <c r="G1" s="1" t="s">
        <v>15</v>
      </c>
      <c r="H1" s="1" t="s">
        <v>16</v>
      </c>
      <c r="I1" s="2" t="s">
        <v>17</v>
      </c>
      <c r="J1" s="3" t="s">
        <v>40</v>
      </c>
      <c r="K1" s="3">
        <f>COUNTA(A:A)-1</f>
        <v>5</v>
      </c>
      <c r="L1" s="4" t="s">
        <v>42</v>
      </c>
      <c r="M1" s="4">
        <v>240</v>
      </c>
    </row>
    <row r="2" spans="1:13" x14ac:dyDescent="0.3">
      <c r="A2" s="5" t="s">
        <v>19</v>
      </c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13</v>
      </c>
      <c r="K2" s="5" t="s">
        <v>18</v>
      </c>
      <c r="L2" s="5" t="s">
        <v>41</v>
      </c>
      <c r="M2" s="1"/>
    </row>
    <row r="3" spans="1:13" x14ac:dyDescent="0.3">
      <c r="A3" s="1" t="s">
        <v>20</v>
      </c>
      <c r="B3" s="6" t="s">
        <v>8</v>
      </c>
      <c r="C3" s="7" t="s">
        <v>43</v>
      </c>
      <c r="D3" s="7" t="s">
        <v>9</v>
      </c>
      <c r="E3" s="7"/>
      <c r="F3" s="7"/>
      <c r="G3" s="7"/>
      <c r="H3" s="8" t="s">
        <v>10</v>
      </c>
      <c r="I3" s="8" t="s">
        <v>11</v>
      </c>
      <c r="J3" s="1" t="str">
        <f>"MECARD:"&amp;$B$1&amp;B3&amp;$C$1&amp;C3&amp;$D$1&amp;D3&amp;$E$1&amp;E3&amp;$F$1&amp;F3&amp;$G$1&amp;G3&amp;$H$1&amp;H3&amp;$I$1&amp;I3&amp;";;"</f>
        <v>MECARD:N:陳小揚;ADR:新北市新店區民生路89號12樓;TEL:+886911223223;TEL:;TEL:;TEL:;EMAIL:excel522@hotmail.com;URL:http://www.excel.com.tw;;</v>
      </c>
      <c r="K3" s="1" t="str">
        <f>"http://chart.apis.google.com/chart?cht=qr&amp;chl="&amp;URLEncode(J3)&amp;"&amp;chs="&amp;$M$1&amp;"x"&amp;$M$1</f>
        <v>http://chart.apis.google.com/chart?cht=qr&amp;chl=MECARD%3AN%3A%E9%99%B3%E5%B0%8F%E6%8F%9A%3BADR%3A%E6%96%B0%E5%8C%97%E5%B8%82%E6%96%B0%E5%BA%97%E5%8D%80%E6%B0%91%E7%94%9F%E8%B7%AF89%E8%99%9F12%E6%A8%93%3BTEL%3A%2B886911223223%3BTEL%3A%3BTEL%3A%3BTEL%3A%3BEMAIL%3Aexcel522%40hotmail.com%3BURL%3Ahttp%3A%2F%2Fwww.excel.com.tw%3B%3B&amp;chs=240x240</v>
      </c>
      <c r="L3" s="9" t="str">
        <f ca="1">HYPERLINK(PATH&amp;"\"&amp;A3&amp;".jpg")</f>
        <v>C:\Users\Excel\Desktop\★ExcelVBA40例\問題19快速製作QR Code通訊錄_OK\案例\AE01.jpg</v>
      </c>
      <c r="M3" s="1"/>
    </row>
    <row r="4" spans="1:13" x14ac:dyDescent="0.3">
      <c r="A4" s="1" t="s">
        <v>21</v>
      </c>
      <c r="B4" s="6" t="s">
        <v>29</v>
      </c>
      <c r="C4" s="7" t="s">
        <v>44</v>
      </c>
      <c r="D4" s="7" t="s">
        <v>33</v>
      </c>
      <c r="E4" s="7"/>
      <c r="F4" s="7"/>
      <c r="G4" s="7"/>
      <c r="H4" s="8" t="s">
        <v>22</v>
      </c>
      <c r="I4" s="8" t="s">
        <v>36</v>
      </c>
      <c r="J4" s="1" t="str">
        <f t="shared" ref="J4:J7" si="0">"MECARD:"&amp;$B$1&amp;B4&amp;$C$1&amp;C4&amp;$D$1&amp;D4&amp;$E$1&amp;E4&amp;$F$1&amp;F4&amp;$G$1&amp;G4&amp;$H$1&amp;H4&amp;$I$1&amp;I4&amp;";;"</f>
        <v>MECARD:N:張大寶;ADR:新北市新店區民生路89號13樓;TEL:+886911223221;TEL:;TEL:;TEL:;EMAIL:excel523@hotmail.com;URL:http://www.word.com.tw;;</v>
      </c>
      <c r="K4" s="1" t="str">
        <f t="shared" ref="K4:K7" si="1">"http://chart.apis.google.com/chart?cht=qr&amp;chl="&amp;URLEncode(J4)&amp;"&amp;chs="&amp;$M$1&amp;"x"&amp;$M$1</f>
        <v>http://chart.apis.google.com/chart?cht=qr&amp;chl=MECARD%3AN%3A%E5%BC%B5%E5%A4%A7%E5%AF%B6%3BADR%3A%E6%96%B0%E5%8C%97%E5%B8%82%E6%96%B0%E5%BA%97%E5%8D%80%E6%B0%91%E7%94%9F%E8%B7%AF89%E8%99%9F13%E6%A8%93%3BTEL%3A%2B886911223221%3BTEL%3A%3BTEL%3A%3BTEL%3A%3BEMAIL%3Aexcel523%40hotmail.com%3BURL%3Ahttp%3A%2F%2Fwww.word.com.tw%3B%3B&amp;chs=240x240</v>
      </c>
      <c r="L4" s="9" t="str">
        <f ca="1">HYPERLINK(PATH&amp;"\"&amp;A4&amp;".jpg")</f>
        <v>C:\Users\Excel\Desktop\★ExcelVBA40例\問題19快速製作QR Code通訊錄_OK\案例\AE02.jpg</v>
      </c>
      <c r="M4" s="1"/>
    </row>
    <row r="5" spans="1:13" x14ac:dyDescent="0.3">
      <c r="A5" s="1" t="s">
        <v>23</v>
      </c>
      <c r="B5" s="6" t="s">
        <v>30</v>
      </c>
      <c r="C5" s="7" t="s">
        <v>45</v>
      </c>
      <c r="D5" s="7" t="s">
        <v>9</v>
      </c>
      <c r="E5" s="7"/>
      <c r="F5" s="7"/>
      <c r="G5" s="7"/>
      <c r="H5" s="8" t="s">
        <v>24</v>
      </c>
      <c r="I5" s="8" t="s">
        <v>37</v>
      </c>
      <c r="J5" s="1" t="str">
        <f t="shared" si="0"/>
        <v>MECARD:N:林小明;ADR:新北市新店區民生路89號14樓;TEL:+886911223223;TEL:;TEL:;TEL:;EMAIL:excel524@hotmail.com;URL:http://www.ppt.com.tw;;</v>
      </c>
      <c r="K5" s="1" t="str">
        <f t="shared" si="1"/>
        <v>http://chart.apis.google.com/chart?cht=qr&amp;chl=MECARD%3AN%3A%E6%9E%97%E5%B0%8F%E6%98%8E%3BADR%3A%E6%96%B0%E5%8C%97%E5%B8%82%E6%96%B0%E5%BA%97%E5%8D%80%E6%B0%91%E7%94%9F%E8%B7%AF89%E8%99%9F14%E6%A8%93%3BTEL%3A%2B886911223223%3BTEL%3A%3BTEL%3A%3BTEL%3A%3BEMAIL%3Aexcel524%40hotmail.com%3BURL%3Ahttp%3A%2F%2Fwww.ppt.com.tw%3B%3B&amp;chs=240x240</v>
      </c>
      <c r="L5" s="9" t="str">
        <f ca="1">HYPERLINK(PATH&amp;"\"&amp;A5&amp;".jpg")</f>
        <v>C:\Users\Excel\Desktop\★ExcelVBA40例\問題19快速製作QR Code通訊錄_OK\案例\AE03.jpg</v>
      </c>
      <c r="M5" s="1"/>
    </row>
    <row r="6" spans="1:13" x14ac:dyDescent="0.3">
      <c r="A6" s="1" t="s">
        <v>25</v>
      </c>
      <c r="B6" s="6" t="s">
        <v>31</v>
      </c>
      <c r="C6" s="7" t="s">
        <v>46</v>
      </c>
      <c r="D6" s="7" t="s">
        <v>34</v>
      </c>
      <c r="E6" s="7"/>
      <c r="F6" s="7"/>
      <c r="G6" s="7"/>
      <c r="H6" s="8" t="s">
        <v>26</v>
      </c>
      <c r="I6" s="8" t="s">
        <v>38</v>
      </c>
      <c r="J6" s="1" t="str">
        <f t="shared" si="0"/>
        <v>MECARD:N:吳小辛;ADR:新北市新店區民生路89號15樓;TEL:+886911223226;TEL:;TEL:;TEL:;EMAIL:excel525@hotmail.com;URL:http://www.access.com.tw;;</v>
      </c>
      <c r="K6" s="1" t="str">
        <f t="shared" si="1"/>
        <v>http://chart.apis.google.com/chart?cht=qr&amp;chl=MECARD%3AN%3A%E5%90%B3%E5%B0%8F%E8%BE%9B%3BADR%3A%E6%96%B0%E5%8C%97%E5%B8%82%E6%96%B0%E5%BA%97%E5%8D%80%E6%B0%91%E7%94%9F%E8%B7%AF89%E8%99%9F15%E6%A8%93%3BTEL%3A%2B886911223226%3BTEL%3A%3BTEL%3A%3BTEL%3A%3BEMAIL%3Aexcel525%40hotmail.com%3BURL%3Ahttp%3A%2F%2Fwww.access.com.tw%3B%3B&amp;chs=240x240</v>
      </c>
      <c r="L6" s="9" t="str">
        <f ca="1">HYPERLINK(PATH&amp;"\"&amp;A6&amp;".jpg")</f>
        <v>C:\Users\Excel\Desktop\★ExcelVBA40例\問題19快速製作QR Code通訊錄_OK\案例\AE04.jpg</v>
      </c>
      <c r="M6" s="1"/>
    </row>
    <row r="7" spans="1:13" x14ac:dyDescent="0.3">
      <c r="A7" s="1" t="s">
        <v>27</v>
      </c>
      <c r="B7" s="6" t="s">
        <v>32</v>
      </c>
      <c r="C7" s="7" t="s">
        <v>47</v>
      </c>
      <c r="D7" s="7" t="s">
        <v>35</v>
      </c>
      <c r="E7" s="7"/>
      <c r="F7" s="7"/>
      <c r="G7" s="7"/>
      <c r="H7" s="8" t="s">
        <v>28</v>
      </c>
      <c r="I7" s="8" t="s">
        <v>39</v>
      </c>
      <c r="J7" s="1" t="str">
        <f t="shared" si="0"/>
        <v>MECARD:N:張小春;ADR:新北市新店區民生路89號16樓;TEL:+886911223224;TEL:;TEL:;TEL:;EMAIL:excel526@hotmail.com;URL:http://www.outlook.com.tw;;</v>
      </c>
      <c r="K7" s="1" t="str">
        <f t="shared" si="1"/>
        <v>http://chart.apis.google.com/chart?cht=qr&amp;chl=MECARD%3AN%3A%E5%BC%B5%E5%B0%8F%E6%98%A5%3BADR%3A%E6%96%B0%E5%8C%97%E5%B8%82%E6%96%B0%E5%BA%97%E5%8D%80%E6%B0%91%E7%94%9F%E8%B7%AF89%E8%99%9F16%E6%A8%93%3BTEL%3A%2B886911223224%3BTEL%3A%3BTEL%3A%3BTEL%3A%3BEMAIL%3Aexcel526%40hotmail.com%3BURL%3Ahttp%3A%2F%2Fwww.outlook.com.tw%3B%3B&amp;chs=240x240</v>
      </c>
      <c r="L7" s="9" t="str">
        <f ca="1">HYPERLINK(PATH&amp;"\"&amp;A7&amp;".jpg")</f>
        <v>C:\Users\Excel\Desktop\★ExcelVBA40例\問題19快速製作QR Code通訊錄_OK\案例\AE05.jpg</v>
      </c>
      <c r="M7" s="1"/>
    </row>
  </sheetData>
  <phoneticPr fontId="1" type="noConversion"/>
  <hyperlinks>
    <hyperlink ref="H3" r:id="rId1"/>
    <hyperlink ref="I3" r:id="rId2"/>
    <hyperlink ref="H4" r:id="rId3" display="excel522@hotmail.com"/>
    <hyperlink ref="H5" r:id="rId4" display="excel522@hotmail.com"/>
    <hyperlink ref="H6" r:id="rId5" display="excel522@hotmail.com"/>
    <hyperlink ref="H7" r:id="rId6" display="excel522@hotmail.com"/>
    <hyperlink ref="I4" r:id="rId7"/>
    <hyperlink ref="I5" r:id="rId8"/>
    <hyperlink ref="I6" r:id="rId9"/>
    <hyperlink ref="I7" r:id="rId10"/>
  </hyperlinks>
  <pageMargins left="0.7" right="0.7" top="0.75" bottom="0.75" header="0.3" footer="0.3"/>
  <pageSetup paperSize="9" orientation="portrait"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QRCode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2013-10-18T17:27:07Z</dcterms:created>
  <dcterms:modified xsi:type="dcterms:W3CDTF">2016-10-27T12:46:02Z</dcterms:modified>
</cp:coreProperties>
</file>