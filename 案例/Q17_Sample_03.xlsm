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3BBC38B-C2DA-FC69-06AC-9F67D96B632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xcel\Google 雲端硬碟\★ExcelVBA50例\問題17動態圖表_OK\案例\"/>
    </mc:Choice>
  </mc:AlternateContent>
  <bookViews>
    <workbookView xWindow="240" yWindow="108" windowWidth="14808" windowHeight="8016"/>
  </bookViews>
  <sheets>
    <sheet name="設定" sheetId="3" r:id="rId1"/>
    <sheet name="資料" sheetId="1" r:id="rId2"/>
  </sheets>
  <calcPr calcId="171027"/>
</workbook>
</file>

<file path=xl/calcChain.xml><?xml version="1.0" encoding="utf-8"?>
<calcChain xmlns="http://schemas.openxmlformats.org/spreadsheetml/2006/main">
  <c r="J1" i="1" l="1"/>
  <c r="O1" i="3" l="1"/>
  <c r="H1" i="1" l="1"/>
  <c r="N9" i="1" l="1"/>
  <c r="H8" i="1"/>
  <c r="T6" i="1"/>
  <c r="N5" i="1"/>
  <c r="H4" i="1"/>
  <c r="T8" i="1"/>
  <c r="N7" i="1"/>
  <c r="H6" i="1"/>
  <c r="T4" i="1"/>
  <c r="N3" i="1"/>
  <c r="T9" i="1"/>
  <c r="N8" i="1"/>
  <c r="H7" i="1"/>
  <c r="T5" i="1"/>
  <c r="N4" i="1"/>
  <c r="H3" i="1"/>
  <c r="H9" i="1"/>
  <c r="T7" i="1"/>
  <c r="N6" i="1"/>
  <c r="H5" i="1"/>
  <c r="T3" i="1"/>
  <c r="W3" i="1" l="1" a="1"/>
  <c r="W3" i="1" s="1"/>
  <c r="P3" i="1" a="1"/>
  <c r="P3" i="1" s="1"/>
  <c r="U3" i="1" a="1"/>
  <c r="U3" i="1" s="1"/>
  <c r="Q3" i="1" a="1"/>
  <c r="Q3" i="1" s="1"/>
  <c r="K3" i="1" s="1"/>
  <c r="V3" i="1" a="1"/>
  <c r="V3" i="1" s="1"/>
  <c r="O3" i="1" a="1"/>
  <c r="O3" i="1" s="1"/>
  <c r="I3" i="1" s="1"/>
  <c r="U6" i="1" a="1"/>
  <c r="U6" i="1" s="1"/>
  <c r="P6" i="1" a="1"/>
  <c r="P6" i="1" s="1"/>
  <c r="J6" i="1" s="1"/>
  <c r="V6" i="1" a="1"/>
  <c r="V6" i="1" s="1"/>
  <c r="O6" i="1" a="1"/>
  <c r="O6" i="1" s="1"/>
  <c r="I6" i="1" s="1"/>
  <c r="Q6" i="1" a="1"/>
  <c r="Q6" i="1" s="1"/>
  <c r="W6" i="1" a="1"/>
  <c r="W6" i="1" s="1"/>
  <c r="U8" i="1" a="1"/>
  <c r="U8" i="1" s="1"/>
  <c r="W8" i="1" a="1"/>
  <c r="W8" i="1" s="1"/>
  <c r="P8" i="1" a="1"/>
  <c r="P8" i="1" s="1"/>
  <c r="V8" i="1" a="1"/>
  <c r="V8" i="1" s="1"/>
  <c r="O8" i="1" a="1"/>
  <c r="O8" i="1" s="1"/>
  <c r="I8" i="1" s="1"/>
  <c r="Q8" i="1" a="1"/>
  <c r="Q8" i="1" s="1"/>
  <c r="K8" i="1" s="1"/>
  <c r="W5" i="1" a="1"/>
  <c r="W5" i="1" s="1"/>
  <c r="P5" i="1" a="1"/>
  <c r="P5" i="1" s="1"/>
  <c r="Q5" i="1" a="1"/>
  <c r="Q5" i="1" s="1"/>
  <c r="K5" i="1" s="1"/>
  <c r="V5" i="1" a="1"/>
  <c r="V5" i="1" s="1"/>
  <c r="O5" i="1" a="1"/>
  <c r="O5" i="1" s="1"/>
  <c r="U5" i="1" a="1"/>
  <c r="U5" i="1" s="1"/>
  <c r="W9" i="1" a="1"/>
  <c r="W9" i="1" s="1"/>
  <c r="P9" i="1" a="1"/>
  <c r="P9" i="1" s="1"/>
  <c r="Q9" i="1" a="1"/>
  <c r="Q9" i="1" s="1"/>
  <c r="K9" i="1" s="1"/>
  <c r="V9" i="1" a="1"/>
  <c r="V9" i="1" s="1"/>
  <c r="O9" i="1" a="1"/>
  <c r="O9" i="1" s="1"/>
  <c r="U9" i="1" a="1"/>
  <c r="U9" i="1" s="1"/>
  <c r="W7" i="1" a="1"/>
  <c r="W7" i="1" s="1"/>
  <c r="P7" i="1" a="1"/>
  <c r="P7" i="1" s="1"/>
  <c r="Q7" i="1" a="1"/>
  <c r="Q7" i="1" s="1"/>
  <c r="K7" i="1" s="1"/>
  <c r="V7" i="1" a="1"/>
  <c r="V7" i="1" s="1"/>
  <c r="O7" i="1" a="1"/>
  <c r="O7" i="1" s="1"/>
  <c r="U7" i="1" a="1"/>
  <c r="U7" i="1" s="1"/>
  <c r="U4" i="1" a="1"/>
  <c r="U4" i="1" s="1"/>
  <c r="W4" i="1" a="1"/>
  <c r="W4" i="1" s="1"/>
  <c r="V4" i="1" a="1"/>
  <c r="V4" i="1" s="1"/>
  <c r="O4" i="1" a="1"/>
  <c r="O4" i="1" s="1"/>
  <c r="I4" i="1" s="1"/>
  <c r="Q4" i="1" a="1"/>
  <c r="Q4" i="1" s="1"/>
  <c r="K4" i="1" s="1"/>
  <c r="P4" i="1" a="1"/>
  <c r="P4" i="1" s="1"/>
  <c r="J4" i="1" s="1"/>
  <c r="J7" i="1" l="1"/>
  <c r="J5" i="1"/>
  <c r="I7" i="1"/>
  <c r="I5" i="1"/>
  <c r="J8" i="1"/>
  <c r="K6" i="1"/>
  <c r="J9" i="1"/>
  <c r="J3" i="1"/>
  <c r="I9" i="1"/>
</calcChain>
</file>

<file path=xl/sharedStrings.xml><?xml version="1.0" encoding="utf-8"?>
<sst xmlns="http://schemas.openxmlformats.org/spreadsheetml/2006/main" count="171" uniqueCount="28">
  <si>
    <t>ALOROTOM</t>
  </si>
  <si>
    <t>ELPPA</t>
  </si>
  <si>
    <t>SUSA</t>
  </si>
  <si>
    <t>RECA</t>
  </si>
  <si>
    <t>YNOS</t>
  </si>
  <si>
    <t>IMOAIX</t>
  </si>
  <si>
    <t>廠牌</t>
  </si>
  <si>
    <t>年份</t>
  </si>
  <si>
    <t>行銷費用</t>
  </si>
  <si>
    <t>銷售金額</t>
  </si>
  <si>
    <t>AIKON</t>
  </si>
  <si>
    <t>預估達成率</t>
  </si>
  <si>
    <t>顯示年份：</t>
    <phoneticPr fontId="1" type="noConversion"/>
  </si>
  <si>
    <t>目前執行次數：</t>
    <phoneticPr fontId="1" type="noConversion"/>
  </si>
  <si>
    <t>最高執行次數：</t>
    <phoneticPr fontId="1" type="noConversion"/>
  </si>
  <si>
    <t>切割等份
(速度)：</t>
    <phoneticPr fontId="1" type="noConversion"/>
  </si>
  <si>
    <t>結束年份：</t>
    <phoneticPr fontId="1" type="noConversion"/>
  </si>
  <si>
    <t>起始年份：</t>
    <phoneticPr fontId="1" type="noConversion"/>
  </si>
  <si>
    <t>圖表範本：</t>
    <phoneticPr fontId="1" type="noConversion"/>
  </si>
  <si>
    <t>雙軸加直條圖.crtx</t>
  </si>
  <si>
    <t>廠牌</t>
    <phoneticPr fontId="1" type="noConversion"/>
  </si>
  <si>
    <t>年份</t>
    <phoneticPr fontId="1" type="noConversion"/>
  </si>
  <si>
    <t>預估達成率</t>
    <phoneticPr fontId="1" type="noConversion"/>
  </si>
  <si>
    <t>行銷費用</t>
    <phoneticPr fontId="1" type="noConversion"/>
  </si>
  <si>
    <t>銷售金額</t>
    <phoneticPr fontId="1" type="noConversion"/>
  </si>
  <si>
    <t>廠牌</t>
    <phoneticPr fontId="1" type="noConversion"/>
  </si>
  <si>
    <t>設定圖表大小(高):公分</t>
    <phoneticPr fontId="1" type="noConversion"/>
  </si>
  <si>
    <t>設定圖表大小(寬)：公分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</si>
</sst>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b/>
      <sz val="12"/>
      <color rgb="FFFF0000"/>
      <name val="微軟正黑體"/>
      <family val="2"/>
      <charset val="136"/>
    </font>
    <font>
      <sz val="12"/>
      <color rgb="FF00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sz val="14"/>
      <color theme="1"/>
      <name val="微軟正黑體"/>
      <family val="2"/>
      <charset val="136"/>
    </font>
    <font>
      <b/>
      <sz val="12"/>
      <color theme="1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9999FF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7">
    <xf numFmtId="0" fontId="0" fillId="0" borderId="0" xfId="0"/>
    <xf numFmtId="1" fontId="0" fillId="0" borderId="0" xfId="0" applyNumberFormat="1"/>
    <xf numFmtId="1" fontId="3" fillId="0" borderId="1" xfId="0" applyNumberFormat="1" applyFont="1" applyBorder="1" applyAlignment="1">
      <alignment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NumberFormat="1" applyFont="1" applyBorder="1" applyAlignment="1">
      <alignment horizontal="center" vertical="center"/>
    </xf>
    <xf numFmtId="0" fontId="4" fillId="4" borderId="0" xfId="0" applyFont="1" applyFill="1"/>
    <xf numFmtId="0" fontId="4" fillId="5" borderId="0" xfId="0" applyFont="1" applyFill="1"/>
    <xf numFmtId="0" fontId="4" fillId="3" borderId="0" xfId="0" applyFont="1" applyFill="1"/>
    <xf numFmtId="0" fontId="2" fillId="2" borderId="0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6" fillId="2" borderId="0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1" fontId="3" fillId="0" borderId="2" xfId="0" applyNumberFormat="1" applyFont="1" applyBorder="1" applyAlignment="1">
      <alignment vertical="center"/>
    </xf>
    <xf numFmtId="0" fontId="4" fillId="0" borderId="3" xfId="0" applyFont="1" applyBorder="1"/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1" fontId="3" fillId="0" borderId="7" xfId="0" applyNumberFormat="1" applyFont="1" applyBorder="1" applyAlignment="1">
      <alignment vertical="center"/>
    </xf>
    <xf numFmtId="1" fontId="3" fillId="0" borderId="8" xfId="0" applyNumberFormat="1" applyFont="1" applyBorder="1" applyAlignment="1">
      <alignment vertical="center"/>
    </xf>
    <xf numFmtId="0" fontId="3" fillId="0" borderId="8" xfId="0" applyNumberFormat="1" applyFont="1" applyBorder="1" applyAlignment="1">
      <alignment vertical="center"/>
    </xf>
    <xf numFmtId="0" fontId="3" fillId="0" borderId="8" xfId="0" applyNumberFormat="1" applyFont="1" applyBorder="1" applyAlignment="1">
      <alignment horizontal="center" vertical="center"/>
    </xf>
    <xf numFmtId="0" fontId="4" fillId="0" borderId="9" xfId="0" applyFont="1" applyBorder="1"/>
  </cellXfs>
  <cellStyles count="1">
    <cellStyle name="一般" xfId="0" builtinId="0"/>
  </cellStyles>
  <dxfs count="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微軟正黑體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0" formatCode="General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微軟正黑體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微軟正黑體"/>
        <scheme val="none"/>
      </font>
      <fill>
        <patternFill patternType="solid">
          <fgColor rgb="FF9999FF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原始資料" displayName="原始資料" ref="A1:E120" totalsRowShown="0" headerRowDxfId="8" headerRowBorderDxfId="7" tableBorderDxfId="6" totalsRowBorderDxfId="5">
  <autoFilter ref="A1:E120"/>
  <tableColumns count="5">
    <tableColumn id="1" name="廠牌" dataDxfId="4"/>
    <tableColumn id="2" name="年份" dataDxfId="3"/>
    <tableColumn id="3" name="預估達成率" dataDxfId="2"/>
    <tableColumn id="4" name="行銷費用" dataDxfId="1"/>
    <tableColumn id="5" name="銷售金額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>
    <tabColor rgb="FFFF0000"/>
  </sheetPr>
  <dimension ref="K1:Q5"/>
  <sheetViews>
    <sheetView tabSelected="1" zoomScale="70" zoomScaleNormal="70" workbookViewId="0">
      <selection activeCell="Q5" sqref="Q5"/>
    </sheetView>
  </sheetViews>
  <sheetFormatPr defaultRowHeight="16.2" x14ac:dyDescent="0.3"/>
  <cols>
    <col min="11" max="11" width="18" customWidth="1"/>
    <col min="12" max="12" width="21.109375" customWidth="1"/>
    <col min="14" max="14" width="16.6640625" customWidth="1"/>
    <col min="15" max="15" width="13" customWidth="1"/>
    <col min="16" max="16" width="15.44140625" customWidth="1"/>
  </cols>
  <sheetData>
    <row r="1" spans="11:17" ht="18" x14ac:dyDescent="0.3">
      <c r="K1" s="13" t="s">
        <v>17</v>
      </c>
      <c r="L1" s="9">
        <v>1998</v>
      </c>
      <c r="N1" s="8" t="s">
        <v>13</v>
      </c>
      <c r="O1" s="9">
        <f>資料!L1</f>
        <v>117</v>
      </c>
    </row>
    <row r="2" spans="11:17" ht="18.600000000000001" x14ac:dyDescent="0.3">
      <c r="K2" s="14"/>
      <c r="L2" s="12"/>
    </row>
    <row r="3" spans="11:17" ht="18" x14ac:dyDescent="0.3">
      <c r="K3" s="13" t="s">
        <v>16</v>
      </c>
      <c r="L3" s="9">
        <v>2009</v>
      </c>
    </row>
    <row r="5" spans="11:17" ht="31.2" x14ac:dyDescent="0.3">
      <c r="K5" s="13" t="s">
        <v>18</v>
      </c>
      <c r="L5" s="9" t="s">
        <v>19</v>
      </c>
      <c r="N5" s="8" t="s">
        <v>26</v>
      </c>
      <c r="O5" s="9">
        <v>14</v>
      </c>
      <c r="P5" s="8" t="s">
        <v>27</v>
      </c>
      <c r="Q5" s="9">
        <v>24</v>
      </c>
    </row>
  </sheetData>
  <phoneticPr fontId="1" type="noConversion"/>
  <dataValidations count="2">
    <dataValidation type="list" allowBlank="1" showInputMessage="1" showErrorMessage="1" sqref="L1 L3">
      <formula1>"請選擇,1998,1999,2000,2001,2002,2003,2004,2005,2006,2007,2008,2009,2010,2011,2012,2013,2014"</formula1>
    </dataValidation>
    <dataValidation type="list" allowBlank="1" showInputMessage="1" showErrorMessage="1" sqref="L5">
      <formula1>"圓形圖.crtx,泡泡圖.crtx,雙軸加直條圖.crtx"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W120"/>
  <sheetViews>
    <sheetView zoomScale="55" zoomScaleNormal="55" workbookViewId="0">
      <selection activeCell="P4" sqref="P4"/>
    </sheetView>
  </sheetViews>
  <sheetFormatPr defaultRowHeight="16.2" x14ac:dyDescent="0.3"/>
  <cols>
    <col min="1" max="4" width="15.44140625" customWidth="1"/>
    <col min="5" max="5" width="11.88671875" customWidth="1"/>
    <col min="7" max="7" width="16.88671875" customWidth="1"/>
    <col min="8" max="8" width="13.44140625" customWidth="1"/>
    <col min="9" max="9" width="20" customWidth="1"/>
    <col min="10" max="10" width="17.21875" customWidth="1"/>
    <col min="11" max="11" width="19.44140625" customWidth="1"/>
    <col min="12" max="12" width="12.77734375" customWidth="1"/>
    <col min="13" max="13" width="16.44140625" customWidth="1"/>
    <col min="15" max="15" width="8.88671875" customWidth="1"/>
    <col min="23" max="23" width="10.33203125" bestFit="1" customWidth="1"/>
  </cols>
  <sheetData>
    <row r="1" spans="1:23" ht="40.200000000000003" customHeight="1" x14ac:dyDescent="0.3">
      <c r="A1" s="18" t="s">
        <v>6</v>
      </c>
      <c r="B1" s="19" t="s">
        <v>7</v>
      </c>
      <c r="C1" s="20" t="s">
        <v>11</v>
      </c>
      <c r="D1" s="20" t="s">
        <v>8</v>
      </c>
      <c r="E1" s="21" t="s">
        <v>9</v>
      </c>
      <c r="G1" s="8" t="s">
        <v>12</v>
      </c>
      <c r="H1" s="9">
        <f>MIN(B2:B120)+INT(L1/N1)</f>
        <v>2009</v>
      </c>
      <c r="I1" s="8" t="s">
        <v>14</v>
      </c>
      <c r="J1" s="15">
        <f>(MAX(原始資料[年份])-MIN(原始資料[年份])+1)*N1-2</f>
        <v>168</v>
      </c>
      <c r="K1" s="8" t="s">
        <v>13</v>
      </c>
      <c r="L1" s="10">
        <v>117</v>
      </c>
      <c r="M1" s="8" t="s">
        <v>15</v>
      </c>
      <c r="N1" s="11">
        <v>10</v>
      </c>
      <c r="O1" s="1"/>
    </row>
    <row r="2" spans="1:23" x14ac:dyDescent="0.3">
      <c r="A2" s="16" t="s">
        <v>10</v>
      </c>
      <c r="B2" s="2">
        <v>1998</v>
      </c>
      <c r="C2" s="3">
        <v>0.52092244402521826</v>
      </c>
      <c r="D2" s="4">
        <v>83.345886310975075</v>
      </c>
      <c r="E2" s="17">
        <v>326.98732921112088</v>
      </c>
      <c r="F2" s="1"/>
      <c r="G2" s="5" t="s">
        <v>20</v>
      </c>
      <c r="H2" s="5" t="s">
        <v>21</v>
      </c>
      <c r="I2" s="5" t="s">
        <v>22</v>
      </c>
      <c r="J2" s="5" t="s">
        <v>23</v>
      </c>
      <c r="K2" s="5" t="s">
        <v>24</v>
      </c>
      <c r="M2" s="7" t="s">
        <v>25</v>
      </c>
      <c r="N2" s="7" t="s">
        <v>21</v>
      </c>
      <c r="O2" s="7" t="s">
        <v>22</v>
      </c>
      <c r="P2" s="7" t="s">
        <v>23</v>
      </c>
      <c r="Q2" s="7" t="s">
        <v>24</v>
      </c>
      <c r="S2" s="6" t="s">
        <v>25</v>
      </c>
      <c r="T2" s="6" t="s">
        <v>21</v>
      </c>
      <c r="U2" s="6" t="s">
        <v>22</v>
      </c>
      <c r="V2" s="6" t="s">
        <v>23</v>
      </c>
      <c r="W2" s="6" t="s">
        <v>24</v>
      </c>
    </row>
    <row r="3" spans="1:23" x14ac:dyDescent="0.3">
      <c r="A3" s="16" t="s">
        <v>10</v>
      </c>
      <c r="B3" s="2">
        <v>1999</v>
      </c>
      <c r="C3" s="3">
        <v>0.36656395911003231</v>
      </c>
      <c r="D3" s="4">
        <v>79.523257072488917</v>
      </c>
      <c r="E3" s="17">
        <v>18.973237913523942</v>
      </c>
      <c r="F3" s="1"/>
      <c r="G3" s="5" t="s">
        <v>10</v>
      </c>
      <c r="H3" s="5">
        <f>$H$1</f>
        <v>2009</v>
      </c>
      <c r="I3" s="5">
        <f>IFERROR(O3-(ABS(O3-U3)/$N$1)*MOD($L$1,$N$1)*IF(O3&gt;U3,1,-1),O3)</f>
        <v>0.3697497999080761</v>
      </c>
      <c r="J3" s="5">
        <f>IFERROR(P3-(ABS(P3-V3)/$N$1)*MOD($L$1,$N$1)*IF(P3&gt;V3,1,-1),P3)</f>
        <v>128.5086843640521</v>
      </c>
      <c r="K3" s="5">
        <f>IFERROR(Q3-(ABS(Q3-W3)/$N$1)*MOD($L$1,$N$1)*IF(Q3&gt;W3,1,-1),Q3)</f>
        <v>223.62893544724452</v>
      </c>
      <c r="M3" s="7" t="s">
        <v>10</v>
      </c>
      <c r="N3" s="7">
        <f>$H$1</f>
        <v>2009</v>
      </c>
      <c r="O3" s="7">
        <f t="array" ref="O3">INDEX(原始資料[預估達成率],MATCH($G3&amp;$H3,原始資料[廠牌]&amp;原始資料[年份],0))</f>
        <v>0.44284058823086986</v>
      </c>
      <c r="P3" s="7">
        <f t="array" ref="P3">INDEX(原始資料[行銷費用],MATCH($G3&amp;$H3,原始資料[廠牌]&amp;原始資料[年份],0))</f>
        <v>47.970329202261418</v>
      </c>
      <c r="Q3" s="7">
        <f t="array" ref="Q3">INDEX(原始資料[銷售金額],MATCH($G3&amp;$H3,原始資料[廠牌]&amp;原始資料[年份],0))</f>
        <v>282.16983522913841</v>
      </c>
      <c r="S3" s="6" t="s">
        <v>10</v>
      </c>
      <c r="T3" s="6">
        <f>$H$1+1</f>
        <v>2010</v>
      </c>
      <c r="U3" s="6">
        <f t="array" ref="U3">INDEX(原始資料[預估達成率],MATCH($G3&amp;($H3+1),原始資料[廠牌]&amp;原始資料[年份],0))</f>
        <v>0.33842517634116448</v>
      </c>
      <c r="V3" s="6">
        <f t="array" ref="V3">INDEX(原始資料[行銷費用],MATCH($G3&amp;($H3+1),原始資料[廠牌]&amp;原始資料[年份],0))</f>
        <v>163.02512229053383</v>
      </c>
      <c r="W3" s="6">
        <f t="array" ref="W3">INDEX(原始資料[銷售金額],MATCH($G3&amp;($H3+1),原始資料[廠牌]&amp;原始資料[年份],0))</f>
        <v>198.5399783978614</v>
      </c>
    </row>
    <row r="4" spans="1:23" x14ac:dyDescent="0.3">
      <c r="A4" s="16" t="s">
        <v>10</v>
      </c>
      <c r="B4" s="2">
        <v>2000</v>
      </c>
      <c r="C4" s="3">
        <v>7.48318732441908E-2</v>
      </c>
      <c r="D4" s="4">
        <v>313.48379717733599</v>
      </c>
      <c r="E4" s="17">
        <v>2.7277811694839564</v>
      </c>
      <c r="F4" s="1"/>
      <c r="G4" s="5" t="s">
        <v>0</v>
      </c>
      <c r="H4" s="5">
        <f t="shared" ref="H4:H9" si="0">$H$1</f>
        <v>2009</v>
      </c>
      <c r="I4" s="5">
        <f t="shared" ref="I4:K9" si="1">IFERROR(O4-(ABS(O4-U4)/$N$1)*MOD($L$1,$N$1)*IF(O4&gt;U4,1,-1),O4)</f>
        <v>0.14936443538204985</v>
      </c>
      <c r="J4" s="5">
        <f t="shared" si="1"/>
        <v>4107.3819606336765</v>
      </c>
      <c r="K4" s="5">
        <f t="shared" si="1"/>
        <v>1639.9585887723404</v>
      </c>
      <c r="M4" s="7" t="s">
        <v>0</v>
      </c>
      <c r="N4" s="7">
        <f t="shared" ref="N4:N9" si="2">$H$1</f>
        <v>2009</v>
      </c>
      <c r="O4" s="7">
        <f t="array" ref="O4">INDEX(原始資料[預估達成率],MATCH($G4&amp;$H4,原始資料[廠牌]&amp;原始資料[年份],0))</f>
        <v>0.3505803079518669</v>
      </c>
      <c r="P4" s="7">
        <f t="array" ref="P4">INDEX(原始資料[行銷費用],MATCH($G4&amp;$H4,原始資料[廠牌]&amp;原始資料[年份],0))</f>
        <v>4290.4061668715813</v>
      </c>
      <c r="Q4" s="7">
        <f t="array" ref="Q4">INDEX(原始資料[銷售金額],MATCH($G4&amp;$H4,原始資料[廠牌]&amp;原始資料[年份],0))</f>
        <v>3426.8755211111907</v>
      </c>
      <c r="S4" s="6" t="s">
        <v>0</v>
      </c>
      <c r="T4" s="6">
        <f t="shared" ref="T4:T9" si="3">$H$1+1</f>
        <v>2010</v>
      </c>
      <c r="U4" s="6">
        <f t="array" ref="U4">INDEX(原始資料[預估達成率],MATCH($G4&amp;($H4+1),原始資料[廠牌]&amp;原始資料[年份],0))</f>
        <v>6.3129061423556829E-2</v>
      </c>
      <c r="V4" s="6">
        <f t="array" ref="V4">INDEX(原始資料[行銷費用],MATCH($G4&amp;($H4+1),原始資料[廠牌]&amp;原始資料[年份],0))</f>
        <v>4028.9430151031456</v>
      </c>
      <c r="W4" s="6">
        <f t="array" ref="W4">INDEX(原始資料[銷售金額],MATCH($G4&amp;($H4+1),原始資料[廠牌]&amp;原始資料[年份],0))</f>
        <v>874.13704634140458</v>
      </c>
    </row>
    <row r="5" spans="1:23" x14ac:dyDescent="0.3">
      <c r="A5" s="16" t="s">
        <v>10</v>
      </c>
      <c r="B5" s="2">
        <v>2001</v>
      </c>
      <c r="C5" s="3">
        <v>3.0534580697778972E-3</v>
      </c>
      <c r="D5" s="4">
        <v>147.69322206578471</v>
      </c>
      <c r="E5" s="17">
        <v>303.36725539418734</v>
      </c>
      <c r="F5" s="1"/>
      <c r="G5" s="5" t="s">
        <v>1</v>
      </c>
      <c r="H5" s="5">
        <f t="shared" si="0"/>
        <v>2009</v>
      </c>
      <c r="I5" s="5">
        <f t="shared" si="1"/>
        <v>1.2963325815853621</v>
      </c>
      <c r="J5" s="5">
        <f t="shared" si="1"/>
        <v>1014.9692832646784</v>
      </c>
      <c r="K5" s="5">
        <f t="shared" si="1"/>
        <v>684.98454062816302</v>
      </c>
      <c r="M5" s="7" t="s">
        <v>1</v>
      </c>
      <c r="N5" s="7">
        <f t="shared" si="2"/>
        <v>2009</v>
      </c>
      <c r="O5" s="7">
        <f t="array" ref="O5">INDEX(原始資料[預估達成率],MATCH($G5&amp;$H5,原始資料[廠牌]&amp;原始資料[年份],0))</f>
        <v>5.6811099544802519E-2</v>
      </c>
      <c r="P5" s="7">
        <f t="array" ref="P5">INDEX(原始資料[行銷費用],MATCH($G5&amp;$H5,原始資料[廠牌]&amp;原始資料[年份],0))</f>
        <v>606.92094354272479</v>
      </c>
      <c r="Q5" s="7">
        <f t="array" ref="Q5">INDEX(原始資料[銷售金額],MATCH($G5&amp;$H5,原始資料[廠牌]&amp;原始資料[年份],0))</f>
        <v>231.86182928014682</v>
      </c>
      <c r="S5" s="6" t="s">
        <v>1</v>
      </c>
      <c r="T5" s="6">
        <f t="shared" si="3"/>
        <v>2010</v>
      </c>
      <c r="U5" s="6">
        <f t="array" ref="U5">INDEX(原始資料[預估達成率],MATCH($G5&amp;($H5+1),原始資料[廠牌]&amp;原始資料[年份],0))</f>
        <v>1.8275560738884591</v>
      </c>
      <c r="V5" s="6">
        <f t="array" ref="V5">INDEX(原始資料[行銷費用],MATCH($G5&amp;($H5+1),原始資料[廠牌]&amp;原始資料[年份],0))</f>
        <v>1189.8471431455157</v>
      </c>
      <c r="W5" s="6">
        <f t="array" ref="W5">INDEX(原始資料[銷售金額],MATCH($G5&amp;($H5+1),原始資料[廠牌]&amp;原始資料[年份],0))</f>
        <v>879.1799883487414</v>
      </c>
    </row>
    <row r="6" spans="1:23" x14ac:dyDescent="0.3">
      <c r="A6" s="16" t="s">
        <v>10</v>
      </c>
      <c r="B6" s="2">
        <v>2002</v>
      </c>
      <c r="C6" s="3">
        <v>0.75545545253665591</v>
      </c>
      <c r="D6" s="4">
        <v>433.58212223063498</v>
      </c>
      <c r="E6" s="17">
        <v>228.53165602622863</v>
      </c>
      <c r="F6" s="1"/>
      <c r="G6" s="5" t="s">
        <v>2</v>
      </c>
      <c r="H6" s="5">
        <f t="shared" si="0"/>
        <v>2009</v>
      </c>
      <c r="I6" s="5">
        <f t="shared" si="1"/>
        <v>0.44362092926978214</v>
      </c>
      <c r="J6" s="5">
        <f t="shared" si="1"/>
        <v>686.5247394024226</v>
      </c>
      <c r="K6" s="5">
        <f t="shared" si="1"/>
        <v>832.34850183344543</v>
      </c>
      <c r="M6" s="7" t="s">
        <v>2</v>
      </c>
      <c r="N6" s="7">
        <f t="shared" si="2"/>
        <v>2009</v>
      </c>
      <c r="O6" s="7">
        <f t="array" ref="O6">INDEX(原始資料[預估達成率],MATCH($G6&amp;$H6,原始資料[廠牌]&amp;原始資料[年份],0))</f>
        <v>0.10037430109210509</v>
      </c>
      <c r="P6" s="7">
        <f t="array" ref="P6">INDEX(原始資料[行銷費用],MATCH($G6&amp;$H6,原始資料[廠牌]&amp;原始資料[年份],0))</f>
        <v>441.32002741369547</v>
      </c>
      <c r="Q6" s="7">
        <f t="array" ref="Q6">INDEX(原始資料[銷售金額],MATCH($G6&amp;$H6,原始資料[廠牌]&amp;原始資料[年份],0))</f>
        <v>551.22775302234356</v>
      </c>
      <c r="S6" s="6" t="s">
        <v>2</v>
      </c>
      <c r="T6" s="6">
        <f t="shared" si="3"/>
        <v>2010</v>
      </c>
      <c r="U6" s="6">
        <f t="array" ref="U6">INDEX(原始資料[預估達成率],MATCH($G6&amp;($H6+1),原始資料[廠牌]&amp;原始資料[年份],0))</f>
        <v>0.59072662706021517</v>
      </c>
      <c r="V6" s="6">
        <f t="array" ref="V6">INDEX(原始資料[行銷費用],MATCH($G6&amp;($H6+1),原始資料[廠牌]&amp;原始資料[年份],0))</f>
        <v>791.61247311187708</v>
      </c>
      <c r="W6" s="6">
        <f t="array" ref="W6">INDEX(原始資料[銷售金額],MATCH($G6&amp;($H6+1),原始資料[廠牌]&amp;原始資料[年份],0))</f>
        <v>952.82882275248903</v>
      </c>
    </row>
    <row r="7" spans="1:23" x14ac:dyDescent="0.3">
      <c r="A7" s="16" t="s">
        <v>10</v>
      </c>
      <c r="B7" s="2">
        <v>2003</v>
      </c>
      <c r="C7" s="3">
        <v>0.72384295590817249</v>
      </c>
      <c r="D7" s="4">
        <v>259.37417925394521</v>
      </c>
      <c r="E7" s="17">
        <v>224.44934085852674</v>
      </c>
      <c r="F7" s="1"/>
      <c r="G7" s="5" t="s">
        <v>3</v>
      </c>
      <c r="H7" s="5">
        <f t="shared" si="0"/>
        <v>2009</v>
      </c>
      <c r="I7" s="5">
        <f t="shared" si="1"/>
        <v>0.22710502084593295</v>
      </c>
      <c r="J7" s="5">
        <f t="shared" si="1"/>
        <v>665.44257819315794</v>
      </c>
      <c r="K7" s="5">
        <f t="shared" si="1"/>
        <v>262.44663506390089</v>
      </c>
      <c r="M7" s="7" t="s">
        <v>3</v>
      </c>
      <c r="N7" s="7">
        <f t="shared" si="2"/>
        <v>2009</v>
      </c>
      <c r="O7" s="7">
        <f t="array" ref="O7">INDEX(原始資料[預估達成率],MATCH($G7&amp;$H7,原始資料[廠牌]&amp;原始資料[年份],0))</f>
        <v>0.44315120848654849</v>
      </c>
      <c r="P7" s="7">
        <f t="array" ref="P7">INDEX(原始資料[行銷費用],MATCH($G7&amp;$H7,原始資料[廠牌]&amp;原始資料[年份],0))</f>
        <v>983.43915965837027</v>
      </c>
      <c r="Q7" s="7">
        <f t="array" ref="Q7">INDEX(原始資料[銷售金額],MATCH($G7&amp;$H7,原始資料[廠牌]&amp;原始資料[年份],0))</f>
        <v>823.29597013640705</v>
      </c>
      <c r="S7" s="6" t="s">
        <v>3</v>
      </c>
      <c r="T7" s="6">
        <f t="shared" si="3"/>
        <v>2010</v>
      </c>
      <c r="U7" s="6">
        <f t="array" ref="U7">INDEX(原始資料[預估達成率],MATCH($G7&amp;($H7+1),原始資料[廠牌]&amp;原始資料[年份],0))</f>
        <v>0.1345137975713834</v>
      </c>
      <c r="V7" s="6">
        <f t="array" ref="V7">INDEX(原始資料[行銷費用],MATCH($G7&amp;($H7+1),原始資料[廠牌]&amp;原始資料[年份],0))</f>
        <v>529.15832899378131</v>
      </c>
      <c r="W7" s="6">
        <f t="array" ref="W7">INDEX(原始資料[銷售金額],MATCH($G7&amp;($H7+1),原始資料[廠牌]&amp;原始資料[年份],0))</f>
        <v>22.082634318541043</v>
      </c>
    </row>
    <row r="8" spans="1:23" x14ac:dyDescent="0.3">
      <c r="A8" s="16" t="s">
        <v>10</v>
      </c>
      <c r="B8" s="2">
        <v>2004</v>
      </c>
      <c r="C8" s="3">
        <v>0.85179205895608989</v>
      </c>
      <c r="D8" s="4">
        <v>512.97651850980412</v>
      </c>
      <c r="E8" s="17">
        <v>422.3555937489557</v>
      </c>
      <c r="F8" s="1"/>
      <c r="G8" s="5" t="s">
        <v>4</v>
      </c>
      <c r="H8" s="5">
        <f t="shared" si="0"/>
        <v>2009</v>
      </c>
      <c r="I8" s="5">
        <f t="shared" si="1"/>
        <v>0.83453228559207437</v>
      </c>
      <c r="J8" s="5">
        <f t="shared" si="1"/>
        <v>668.32953358500117</v>
      </c>
      <c r="K8" s="5">
        <f t="shared" si="1"/>
        <v>571.90657440357359</v>
      </c>
      <c r="M8" s="7" t="s">
        <v>4</v>
      </c>
      <c r="N8" s="7">
        <f t="shared" si="2"/>
        <v>2009</v>
      </c>
      <c r="O8" s="7">
        <f t="array" ref="O8">INDEX(原始資料[預估達成率],MATCH($G8&amp;$H8,原始資料[廠牌]&amp;原始資料[年份],0))</f>
        <v>0.80540450278203835</v>
      </c>
      <c r="P8" s="7">
        <f t="array" ref="P8">INDEX(原始資料[行銷費用],MATCH($G8&amp;$H8,原始資料[廠牌]&amp;原始資料[年份],0))</f>
        <v>982.44701960165082</v>
      </c>
      <c r="Q8" s="7">
        <f t="array" ref="Q8">INDEX(原始資料[銷售金額],MATCH($G8&amp;$H8,原始資料[廠牌]&amp;原始資料[年份],0))</f>
        <v>1321.0571313985545</v>
      </c>
      <c r="S8" s="6" t="s">
        <v>4</v>
      </c>
      <c r="T8" s="6">
        <f t="shared" si="3"/>
        <v>2010</v>
      </c>
      <c r="U8" s="6">
        <f t="array" ref="U8">INDEX(原始資料[預估達成率],MATCH($G8&amp;($H8+1),原始資料[廠牌]&amp;原始資料[年份],0))</f>
        <v>0.84701562108208983</v>
      </c>
      <c r="V8" s="6">
        <f t="array" ref="V8">INDEX(原始資料[行銷費用],MATCH($G8&amp;($H8+1),原始資料[廠牌]&amp;原始資料[年份],0))</f>
        <v>533.70775386357991</v>
      </c>
      <c r="W8" s="6">
        <f t="array" ref="W8">INDEX(原始資料[銷售金額],MATCH($G8&amp;($H8+1),原始資料[廠牌]&amp;原始資料[年份],0))</f>
        <v>250.84204997715315</v>
      </c>
    </row>
    <row r="9" spans="1:23" x14ac:dyDescent="0.3">
      <c r="A9" s="16" t="s">
        <v>10</v>
      </c>
      <c r="B9" s="2">
        <v>2005</v>
      </c>
      <c r="C9" s="3">
        <v>1.1871463394982147</v>
      </c>
      <c r="D9" s="4">
        <v>439.17676786830805</v>
      </c>
      <c r="E9" s="17">
        <v>322.7715526779624</v>
      </c>
      <c r="F9" s="1"/>
      <c r="G9" s="5" t="s">
        <v>5</v>
      </c>
      <c r="H9" s="5">
        <f t="shared" si="0"/>
        <v>2009</v>
      </c>
      <c r="I9" s="5">
        <f t="shared" si="1"/>
        <v>0.70817175427796142</v>
      </c>
      <c r="J9" s="5">
        <f t="shared" si="1"/>
        <v>2487.9040624376498</v>
      </c>
      <c r="K9" s="5">
        <f t="shared" si="1"/>
        <v>1868.2317546853833</v>
      </c>
      <c r="M9" s="7" t="s">
        <v>5</v>
      </c>
      <c r="N9" s="7">
        <f t="shared" si="2"/>
        <v>2009</v>
      </c>
      <c r="O9" s="7">
        <f t="array" ref="O9">INDEX(原始資料[預估達成率],MATCH($G9&amp;$H9,原始資料[廠牌]&amp;原始資料[年份],0))</f>
        <v>0.82285978108486024</v>
      </c>
      <c r="P9" s="7">
        <f t="array" ref="P9">INDEX(原始資料[行銷費用],MATCH($G9&amp;$H9,原始資料[廠牌]&amp;原始資料[年份],0))</f>
        <v>1611.2069361512733</v>
      </c>
      <c r="Q9" s="7">
        <f t="array" ref="Q9">INDEX(原始資料[銷售金額],MATCH($G9&amp;$H9,原始資料[廠牌]&amp;原始資料[年份],0))</f>
        <v>1288.1869871854858</v>
      </c>
      <c r="S9" s="6" t="s">
        <v>5</v>
      </c>
      <c r="T9" s="6">
        <f t="shared" si="3"/>
        <v>2010</v>
      </c>
      <c r="U9" s="6">
        <f t="array" ref="U9">INDEX(原始資料[預估達成率],MATCH($G9&amp;($H9+1),原始資料[廠牌]&amp;原始資料[年份],0))</f>
        <v>0.65901974278929043</v>
      </c>
      <c r="V9" s="6">
        <f t="array" ref="V9">INDEX(原始資料[行銷費用],MATCH($G9&amp;($H9+1),原始資料[廠牌]&amp;原始資料[年份],0))</f>
        <v>2863.6314022746683</v>
      </c>
      <c r="W9" s="6">
        <f t="array" ref="W9">INDEX(原始資料[銷售金額],MATCH($G9&amp;($H9+1),原始資料[廠牌]&amp;原始資料[年份],0))</f>
        <v>2116.8223693281966</v>
      </c>
    </row>
    <row r="10" spans="1:23" x14ac:dyDescent="0.3">
      <c r="A10" s="16" t="s">
        <v>10</v>
      </c>
      <c r="B10" s="2">
        <v>2006</v>
      </c>
      <c r="C10" s="3">
        <v>5.43455441651138E-2</v>
      </c>
      <c r="D10" s="4">
        <v>290.01752816614447</v>
      </c>
      <c r="E10" s="17">
        <v>537.72688041664287</v>
      </c>
      <c r="F10" s="1"/>
    </row>
    <row r="11" spans="1:23" x14ac:dyDescent="0.3">
      <c r="A11" s="16" t="s">
        <v>10</v>
      </c>
      <c r="B11" s="2">
        <v>2007</v>
      </c>
      <c r="C11" s="3">
        <v>0.31522882170519279</v>
      </c>
      <c r="D11" s="4">
        <v>118.37277851060186</v>
      </c>
      <c r="E11" s="17">
        <v>549.70640637532392</v>
      </c>
      <c r="F11" s="1"/>
    </row>
    <row r="12" spans="1:23" x14ac:dyDescent="0.3">
      <c r="A12" s="16" t="s">
        <v>10</v>
      </c>
      <c r="B12" s="2">
        <v>2008</v>
      </c>
      <c r="C12" s="3">
        <v>0.38687679414422815</v>
      </c>
      <c r="D12" s="4">
        <v>394.37208376900838</v>
      </c>
      <c r="E12" s="17">
        <v>17.876482056732183</v>
      </c>
      <c r="F12" s="1"/>
    </row>
    <row r="13" spans="1:23" x14ac:dyDescent="0.3">
      <c r="A13" s="16" t="s">
        <v>10</v>
      </c>
      <c r="B13" s="2">
        <v>2009</v>
      </c>
      <c r="C13" s="3">
        <v>0.44284058823086986</v>
      </c>
      <c r="D13" s="4">
        <v>47.970329202261418</v>
      </c>
      <c r="E13" s="17">
        <v>282.16983522913841</v>
      </c>
      <c r="F13" s="1"/>
    </row>
    <row r="14" spans="1:23" x14ac:dyDescent="0.3">
      <c r="A14" s="16" t="s">
        <v>10</v>
      </c>
      <c r="B14" s="2">
        <v>2010</v>
      </c>
      <c r="C14" s="3">
        <v>0.33842517634116448</v>
      </c>
      <c r="D14" s="4">
        <v>163.02512229053383</v>
      </c>
      <c r="E14" s="17">
        <v>198.5399783978614</v>
      </c>
      <c r="F14" s="1"/>
    </row>
    <row r="15" spans="1:23" x14ac:dyDescent="0.3">
      <c r="A15" s="16" t="s">
        <v>10</v>
      </c>
      <c r="B15" s="2">
        <v>2011</v>
      </c>
      <c r="C15" s="3">
        <v>0.10177302029546692</v>
      </c>
      <c r="D15" s="4">
        <v>211.20519079368276</v>
      </c>
      <c r="E15" s="17">
        <v>322.67282925063415</v>
      </c>
      <c r="F15" s="1"/>
    </row>
    <row r="16" spans="1:23" x14ac:dyDescent="0.3">
      <c r="A16" s="16" t="s">
        <v>10</v>
      </c>
      <c r="B16" s="2">
        <v>2012</v>
      </c>
      <c r="C16" s="3">
        <v>0.75098362221375548</v>
      </c>
      <c r="D16" s="4">
        <v>29.752282067233761</v>
      </c>
      <c r="E16" s="17">
        <v>290.05119908026148</v>
      </c>
      <c r="F16" s="1"/>
    </row>
    <row r="17" spans="1:6" x14ac:dyDescent="0.3">
      <c r="A17" s="16" t="s">
        <v>10</v>
      </c>
      <c r="B17" s="2">
        <v>2013</v>
      </c>
      <c r="C17" s="3">
        <v>0.60248736060227226</v>
      </c>
      <c r="D17" s="4">
        <v>121.64419098825908</v>
      </c>
      <c r="E17" s="17">
        <v>372.77322656650091</v>
      </c>
      <c r="F17" s="1"/>
    </row>
    <row r="18" spans="1:6" x14ac:dyDescent="0.3">
      <c r="A18" s="16" t="s">
        <v>10</v>
      </c>
      <c r="B18" s="2">
        <v>2014</v>
      </c>
      <c r="C18" s="3">
        <v>0.32898749017068857</v>
      </c>
      <c r="D18" s="4">
        <v>60.95144393509181</v>
      </c>
      <c r="E18" s="17">
        <v>430.24879416064795</v>
      </c>
      <c r="F18" s="1"/>
    </row>
    <row r="19" spans="1:6" x14ac:dyDescent="0.3">
      <c r="A19" s="16" t="s">
        <v>0</v>
      </c>
      <c r="B19" s="2">
        <v>1998</v>
      </c>
      <c r="C19" s="3">
        <v>0.67729324210242348</v>
      </c>
      <c r="D19" s="4">
        <v>1769.963417609039</v>
      </c>
      <c r="E19" s="17">
        <v>644.00244539326695</v>
      </c>
      <c r="F19" s="1"/>
    </row>
    <row r="20" spans="1:6" x14ac:dyDescent="0.3">
      <c r="A20" s="16" t="s">
        <v>0</v>
      </c>
      <c r="B20" s="2">
        <v>1999</v>
      </c>
      <c r="C20" s="3">
        <v>0.60374428933456326</v>
      </c>
      <c r="D20" s="4">
        <v>2525.3317083524594</v>
      </c>
      <c r="E20" s="17">
        <v>303.12982753237628</v>
      </c>
      <c r="F20" s="1"/>
    </row>
    <row r="21" spans="1:6" x14ac:dyDescent="0.3">
      <c r="A21" s="16" t="s">
        <v>0</v>
      </c>
      <c r="B21" s="2">
        <v>2000</v>
      </c>
      <c r="C21" s="3">
        <v>0.25760224845139257</v>
      </c>
      <c r="D21" s="4">
        <v>219.23938877783982</v>
      </c>
      <c r="E21" s="17">
        <v>2670.7842959528257</v>
      </c>
      <c r="F21" s="1"/>
    </row>
    <row r="22" spans="1:6" x14ac:dyDescent="0.3">
      <c r="A22" s="16" t="s">
        <v>0</v>
      </c>
      <c r="B22" s="2">
        <v>2001</v>
      </c>
      <c r="C22" s="3">
        <v>0.7545379439194696</v>
      </c>
      <c r="D22" s="4">
        <v>1933.4323472648368</v>
      </c>
      <c r="E22" s="17">
        <v>1680.1861431710404</v>
      </c>
      <c r="F22" s="1"/>
    </row>
    <row r="23" spans="1:6" x14ac:dyDescent="0.3">
      <c r="A23" s="16" t="s">
        <v>0</v>
      </c>
      <c r="B23" s="2">
        <v>2002</v>
      </c>
      <c r="C23" s="3">
        <v>0.2046689143674271</v>
      </c>
      <c r="D23" s="4">
        <v>543.38736920693202</v>
      </c>
      <c r="E23" s="17">
        <v>739.34814300662026</v>
      </c>
      <c r="F23" s="1"/>
    </row>
    <row r="24" spans="1:6" x14ac:dyDescent="0.3">
      <c r="A24" s="16" t="s">
        <v>0</v>
      </c>
      <c r="B24" s="2">
        <v>2003</v>
      </c>
      <c r="C24" s="3">
        <v>2.4869204257378909E-2</v>
      </c>
      <c r="D24" s="4">
        <v>1668.4271269843393</v>
      </c>
      <c r="E24" s="17">
        <v>233.8236190483569</v>
      </c>
      <c r="F24" s="1"/>
    </row>
    <row r="25" spans="1:6" x14ac:dyDescent="0.3">
      <c r="A25" s="16" t="s">
        <v>0</v>
      </c>
      <c r="B25" s="2">
        <v>2004</v>
      </c>
      <c r="C25" s="3">
        <v>1.021848654401381</v>
      </c>
      <c r="D25" s="4">
        <v>2149.5757062994226</v>
      </c>
      <c r="E25" s="17">
        <v>628.18041713692901</v>
      </c>
      <c r="F25" s="1"/>
    </row>
    <row r="26" spans="1:6" x14ac:dyDescent="0.3">
      <c r="A26" s="16" t="s">
        <v>0</v>
      </c>
      <c r="B26" s="2">
        <v>2005</v>
      </c>
      <c r="C26" s="3">
        <v>0.95368271601318755</v>
      </c>
      <c r="D26" s="4">
        <v>2128.7476093427877</v>
      </c>
      <c r="E26" s="17">
        <v>1463.465556786874</v>
      </c>
      <c r="F26" s="1"/>
    </row>
    <row r="27" spans="1:6" x14ac:dyDescent="0.3">
      <c r="A27" s="16" t="s">
        <v>0</v>
      </c>
      <c r="B27" s="2">
        <v>2006</v>
      </c>
      <c r="C27" s="3">
        <v>0.99589787190062629</v>
      </c>
      <c r="D27" s="4">
        <v>3782.2365488346773</v>
      </c>
      <c r="E27" s="17">
        <v>2057.4617612205438</v>
      </c>
      <c r="F27" s="1"/>
    </row>
    <row r="28" spans="1:6" x14ac:dyDescent="0.3">
      <c r="A28" s="16" t="s">
        <v>0</v>
      </c>
      <c r="B28" s="2">
        <v>2007</v>
      </c>
      <c r="C28" s="3">
        <v>0.80106157689362523</v>
      </c>
      <c r="D28" s="4">
        <v>842.20408280065226</v>
      </c>
      <c r="E28" s="17">
        <v>1829.1039457572124</v>
      </c>
      <c r="F28" s="1"/>
    </row>
    <row r="29" spans="1:6" x14ac:dyDescent="0.3">
      <c r="A29" s="16" t="s">
        <v>0</v>
      </c>
      <c r="B29" s="2">
        <v>2008</v>
      </c>
      <c r="C29" s="3">
        <v>0.49631555014666962</v>
      </c>
      <c r="D29" s="4">
        <v>2608.5590145739347</v>
      </c>
      <c r="E29" s="17">
        <v>2896.8752488698283</v>
      </c>
      <c r="F29" s="1"/>
    </row>
    <row r="30" spans="1:6" x14ac:dyDescent="0.3">
      <c r="A30" s="16" t="s">
        <v>0</v>
      </c>
      <c r="B30" s="2">
        <v>2009</v>
      </c>
      <c r="C30" s="3">
        <v>0.3505803079518669</v>
      </c>
      <c r="D30" s="4">
        <v>4290.4061668715813</v>
      </c>
      <c r="E30" s="17">
        <v>3426.8755211111907</v>
      </c>
      <c r="F30" s="1"/>
    </row>
    <row r="31" spans="1:6" x14ac:dyDescent="0.3">
      <c r="A31" s="16" t="s">
        <v>0</v>
      </c>
      <c r="B31" s="2">
        <v>2010</v>
      </c>
      <c r="C31" s="3">
        <v>6.3129061423556829E-2</v>
      </c>
      <c r="D31" s="4">
        <v>4028.9430151031456</v>
      </c>
      <c r="E31" s="17">
        <v>874.13704634140458</v>
      </c>
      <c r="F31" s="1"/>
    </row>
    <row r="32" spans="1:6" x14ac:dyDescent="0.3">
      <c r="A32" s="16" t="s">
        <v>0</v>
      </c>
      <c r="B32" s="2">
        <v>2011</v>
      </c>
      <c r="C32" s="3">
        <v>0.19641068802817727</v>
      </c>
      <c r="D32" s="4">
        <v>1694.3972447292665</v>
      </c>
      <c r="E32" s="17">
        <v>914.47539455195567</v>
      </c>
      <c r="F32" s="1"/>
    </row>
    <row r="33" spans="1:6" x14ac:dyDescent="0.3">
      <c r="A33" s="16" t="s">
        <v>0</v>
      </c>
      <c r="B33" s="2">
        <v>2012</v>
      </c>
      <c r="C33" s="3">
        <v>0.75572545704852045</v>
      </c>
      <c r="D33" s="4">
        <v>542.96101773106727</v>
      </c>
      <c r="E33" s="17">
        <v>2389.8780160517445</v>
      </c>
      <c r="F33" s="1"/>
    </row>
    <row r="34" spans="1:6" x14ac:dyDescent="0.3">
      <c r="A34" s="16" t="s">
        <v>0</v>
      </c>
      <c r="B34" s="2">
        <v>2013</v>
      </c>
      <c r="C34" s="3">
        <v>0.56720003639151917</v>
      </c>
      <c r="D34" s="4">
        <v>3669.6022434837655</v>
      </c>
      <c r="E34" s="17">
        <v>2935.3573306345502</v>
      </c>
      <c r="F34" s="1"/>
    </row>
    <row r="35" spans="1:6" x14ac:dyDescent="0.3">
      <c r="A35" s="16" t="s">
        <v>0</v>
      </c>
      <c r="B35" s="2">
        <v>2014</v>
      </c>
      <c r="C35" s="3">
        <v>0.29927596675300172</v>
      </c>
      <c r="D35" s="4">
        <v>827.99247282553677</v>
      </c>
      <c r="E35" s="17">
        <v>3544.3990241174188</v>
      </c>
      <c r="F35" s="1"/>
    </row>
    <row r="36" spans="1:6" x14ac:dyDescent="0.3">
      <c r="A36" s="16" t="s">
        <v>1</v>
      </c>
      <c r="B36" s="2">
        <v>1998</v>
      </c>
      <c r="C36" s="3">
        <v>4.9669520468273581E-2</v>
      </c>
      <c r="D36" s="4">
        <v>23.929405387260232</v>
      </c>
      <c r="E36" s="17">
        <v>536.45319839017884</v>
      </c>
      <c r="F36" s="1"/>
    </row>
    <row r="37" spans="1:6" x14ac:dyDescent="0.3">
      <c r="A37" s="16" t="s">
        <v>1</v>
      </c>
      <c r="B37" s="2">
        <v>1999</v>
      </c>
      <c r="C37" s="3">
        <v>0.12456134398251276</v>
      </c>
      <c r="D37" s="4">
        <v>292.74966268696357</v>
      </c>
      <c r="E37" s="17">
        <v>572.38085036910661</v>
      </c>
      <c r="F37" s="1"/>
    </row>
    <row r="38" spans="1:6" x14ac:dyDescent="0.3">
      <c r="A38" s="16" t="s">
        <v>1</v>
      </c>
      <c r="B38" s="2">
        <v>2000</v>
      </c>
      <c r="C38" s="3">
        <v>0.24182558744219071</v>
      </c>
      <c r="D38" s="4">
        <v>13.37528207687817</v>
      </c>
      <c r="E38" s="17">
        <v>255.67577554143725</v>
      </c>
      <c r="F38" s="1"/>
    </row>
    <row r="39" spans="1:6" x14ac:dyDescent="0.3">
      <c r="A39" s="16" t="s">
        <v>1</v>
      </c>
      <c r="B39" s="2">
        <v>2001</v>
      </c>
      <c r="C39" s="3">
        <v>0.69276116875198979</v>
      </c>
      <c r="D39" s="4">
        <v>481.30840860011733</v>
      </c>
      <c r="E39" s="17">
        <v>117.08112811833371</v>
      </c>
      <c r="F39" s="1"/>
    </row>
    <row r="40" spans="1:6" x14ac:dyDescent="0.3">
      <c r="A40" s="16" t="s">
        <v>1</v>
      </c>
      <c r="B40" s="2">
        <v>2002</v>
      </c>
      <c r="C40" s="3">
        <v>0.13775716873821656</v>
      </c>
      <c r="D40" s="4">
        <v>165.32399604406694</v>
      </c>
      <c r="E40" s="17">
        <v>567.7096910250425</v>
      </c>
      <c r="F40" s="1"/>
    </row>
    <row r="41" spans="1:6" x14ac:dyDescent="0.3">
      <c r="A41" s="16" t="s">
        <v>1</v>
      </c>
      <c r="B41" s="2">
        <v>2003</v>
      </c>
      <c r="C41" s="3">
        <v>0.92127537916460012</v>
      </c>
      <c r="D41" s="4">
        <v>244.39616793126834</v>
      </c>
      <c r="E41" s="17">
        <v>142.15714201319005</v>
      </c>
      <c r="F41" s="1"/>
    </row>
    <row r="42" spans="1:6" x14ac:dyDescent="0.3">
      <c r="A42" s="16" t="s">
        <v>1</v>
      </c>
      <c r="B42" s="2">
        <v>2004</v>
      </c>
      <c r="C42" s="3">
        <v>1.1499457227268985</v>
      </c>
      <c r="D42" s="4">
        <v>336.00958804114174</v>
      </c>
      <c r="E42" s="17">
        <v>367.15456319320703</v>
      </c>
      <c r="F42" s="1"/>
    </row>
    <row r="43" spans="1:6" x14ac:dyDescent="0.3">
      <c r="A43" s="16" t="s">
        <v>1</v>
      </c>
      <c r="B43" s="2">
        <v>2005</v>
      </c>
      <c r="C43" s="3">
        <v>0.82519275007133241</v>
      </c>
      <c r="D43" s="4">
        <v>67.614821527943803</v>
      </c>
      <c r="E43" s="17">
        <v>72.523709083912692</v>
      </c>
      <c r="F43" s="1"/>
    </row>
    <row r="44" spans="1:6" x14ac:dyDescent="0.3">
      <c r="A44" s="16" t="s">
        <v>1</v>
      </c>
      <c r="B44" s="2">
        <v>2006</v>
      </c>
      <c r="C44" s="3">
        <v>0.38662860819034056</v>
      </c>
      <c r="D44" s="4">
        <v>429.94444265989944</v>
      </c>
      <c r="E44" s="17">
        <v>91.809514618443444</v>
      </c>
      <c r="F44" s="1"/>
    </row>
    <row r="45" spans="1:6" x14ac:dyDescent="0.3">
      <c r="A45" s="16" t="s">
        <v>1</v>
      </c>
      <c r="B45" s="2">
        <v>2007</v>
      </c>
      <c r="C45" s="3">
        <v>0.11291619066270903</v>
      </c>
      <c r="D45" s="4">
        <v>292.95099204783457</v>
      </c>
      <c r="E45" s="17">
        <v>320.25514214357315</v>
      </c>
      <c r="F45" s="1"/>
    </row>
    <row r="46" spans="1:6" x14ac:dyDescent="0.3">
      <c r="A46" s="16" t="s">
        <v>1</v>
      </c>
      <c r="B46" s="2">
        <v>2008</v>
      </c>
      <c r="C46" s="3">
        <v>0.70578427969564828</v>
      </c>
      <c r="D46" s="4">
        <v>539.31564619648054</v>
      </c>
      <c r="E46" s="17">
        <v>389.45567582854454</v>
      </c>
      <c r="F46" s="1"/>
    </row>
    <row r="47" spans="1:6" x14ac:dyDescent="0.3">
      <c r="A47" s="16" t="s">
        <v>1</v>
      </c>
      <c r="B47" s="2">
        <v>2009</v>
      </c>
      <c r="C47" s="3">
        <v>5.6811099544802519E-2</v>
      </c>
      <c r="D47" s="4">
        <v>606.92094354272479</v>
      </c>
      <c r="E47" s="17">
        <v>231.86182928014682</v>
      </c>
      <c r="F47" s="1"/>
    </row>
    <row r="48" spans="1:6" x14ac:dyDescent="0.3">
      <c r="A48" s="16" t="s">
        <v>1</v>
      </c>
      <c r="B48" s="2">
        <v>2010</v>
      </c>
      <c r="C48" s="3">
        <v>1.8275560738884591</v>
      </c>
      <c r="D48" s="4">
        <v>1189.8471431455157</v>
      </c>
      <c r="E48" s="17">
        <v>879.1799883487414</v>
      </c>
      <c r="F48" s="1"/>
    </row>
    <row r="49" spans="1:6" x14ac:dyDescent="0.3">
      <c r="A49" s="16" t="s">
        <v>1</v>
      </c>
      <c r="B49" s="2">
        <v>2011</v>
      </c>
      <c r="C49" s="3">
        <v>0.30398132079389756</v>
      </c>
      <c r="D49" s="4">
        <v>126.37184913979199</v>
      </c>
      <c r="E49" s="17">
        <v>1032.3458903685523</v>
      </c>
      <c r="F49" s="1"/>
    </row>
    <row r="50" spans="1:6" x14ac:dyDescent="0.3">
      <c r="A50" s="16" t="s">
        <v>1</v>
      </c>
      <c r="B50" s="2">
        <v>2012</v>
      </c>
      <c r="C50" s="3">
        <v>0.24812203431321858</v>
      </c>
      <c r="D50" s="4">
        <v>972.20881004621515</v>
      </c>
      <c r="E50" s="17">
        <v>931.0923074686068</v>
      </c>
      <c r="F50" s="1"/>
    </row>
    <row r="51" spans="1:6" x14ac:dyDescent="0.3">
      <c r="A51" s="16" t="s">
        <v>1</v>
      </c>
      <c r="B51" s="2">
        <v>2013</v>
      </c>
      <c r="C51" s="3">
        <v>0.10605929154222786</v>
      </c>
      <c r="D51" s="4">
        <v>1237.9553146605872</v>
      </c>
      <c r="E51" s="17">
        <v>505.83337215629564</v>
      </c>
      <c r="F51" s="1"/>
    </row>
    <row r="52" spans="1:6" x14ac:dyDescent="0.3">
      <c r="A52" s="16" t="s">
        <v>1</v>
      </c>
      <c r="B52" s="2">
        <v>2014</v>
      </c>
      <c r="C52" s="3">
        <v>0.44950895638878602</v>
      </c>
      <c r="D52" s="4">
        <v>563.50241314469429</v>
      </c>
      <c r="E52" s="17">
        <v>1498.789107629769</v>
      </c>
      <c r="F52" s="1"/>
    </row>
    <row r="53" spans="1:6" x14ac:dyDescent="0.3">
      <c r="A53" s="16" t="s">
        <v>2</v>
      </c>
      <c r="B53" s="2">
        <v>1998</v>
      </c>
      <c r="C53" s="3">
        <v>0.19735883719327871</v>
      </c>
      <c r="D53" s="4">
        <v>210.77258275852969</v>
      </c>
      <c r="E53" s="17">
        <v>867.79797419390673</v>
      </c>
      <c r="F53" s="1"/>
    </row>
    <row r="54" spans="1:6" x14ac:dyDescent="0.3">
      <c r="A54" s="16" t="s">
        <v>2</v>
      </c>
      <c r="B54" s="2">
        <v>1999</v>
      </c>
      <c r="C54" s="3">
        <v>0.53038718532601759</v>
      </c>
      <c r="D54" s="4">
        <v>15.661141342282507</v>
      </c>
      <c r="E54" s="17">
        <v>695.33600624928852</v>
      </c>
      <c r="F54" s="1"/>
    </row>
    <row r="55" spans="1:6" x14ac:dyDescent="0.3">
      <c r="A55" s="16" t="s">
        <v>2</v>
      </c>
      <c r="B55" s="2">
        <v>2000</v>
      </c>
      <c r="C55" s="3">
        <v>0.30806648627169025</v>
      </c>
      <c r="D55" s="4">
        <v>1054.3724534480007</v>
      </c>
      <c r="E55" s="17">
        <v>1041.2961843403027</v>
      </c>
      <c r="F55" s="1"/>
    </row>
    <row r="56" spans="1:6" x14ac:dyDescent="0.3">
      <c r="A56" s="16" t="s">
        <v>2</v>
      </c>
      <c r="B56" s="2">
        <v>2001</v>
      </c>
      <c r="C56" s="3">
        <v>0.57134918083169484</v>
      </c>
      <c r="D56" s="4">
        <v>347.86118506908167</v>
      </c>
      <c r="E56" s="17">
        <v>952.89269464538859</v>
      </c>
      <c r="F56" s="1"/>
    </row>
    <row r="57" spans="1:6" x14ac:dyDescent="0.3">
      <c r="A57" s="16" t="s">
        <v>2</v>
      </c>
      <c r="B57" s="2">
        <v>2002</v>
      </c>
      <c r="C57" s="3">
        <v>0.55063706254993305</v>
      </c>
      <c r="D57" s="4">
        <v>478.39051750551187</v>
      </c>
      <c r="E57" s="17">
        <v>1.0186440932384269</v>
      </c>
      <c r="F57" s="1"/>
    </row>
    <row r="58" spans="1:6" x14ac:dyDescent="0.3">
      <c r="A58" s="16" t="s">
        <v>2</v>
      </c>
      <c r="B58" s="2">
        <v>2003</v>
      </c>
      <c r="C58" s="3">
        <v>0.1621689576997502</v>
      </c>
      <c r="D58" s="4">
        <v>51.084208273202712</v>
      </c>
      <c r="E58" s="17">
        <v>159.70340756274112</v>
      </c>
      <c r="F58" s="1"/>
    </row>
    <row r="59" spans="1:6" x14ac:dyDescent="0.3">
      <c r="A59" s="16" t="s">
        <v>2</v>
      </c>
      <c r="B59" s="2">
        <v>2004</v>
      </c>
      <c r="C59" s="3">
        <v>1.1109092534142968</v>
      </c>
      <c r="D59" s="4">
        <v>25.078010216540534</v>
      </c>
      <c r="E59" s="17">
        <v>353.25281246481444</v>
      </c>
      <c r="F59" s="1"/>
    </row>
    <row r="60" spans="1:6" x14ac:dyDescent="0.3">
      <c r="A60" s="16" t="s">
        <v>2</v>
      </c>
      <c r="B60" s="2">
        <v>2005</v>
      </c>
      <c r="C60" s="3">
        <v>0.84501652869721755</v>
      </c>
      <c r="D60" s="4">
        <v>295.90849008853723</v>
      </c>
      <c r="E60" s="17">
        <v>458.52210891600839</v>
      </c>
      <c r="F60" s="1"/>
    </row>
    <row r="61" spans="1:6" x14ac:dyDescent="0.3">
      <c r="A61" s="16" t="s">
        <v>2</v>
      </c>
      <c r="B61" s="2">
        <v>2006</v>
      </c>
      <c r="C61" s="3">
        <v>0.58721826039832015</v>
      </c>
      <c r="D61" s="4">
        <v>911.26597228394974</v>
      </c>
      <c r="E61" s="17">
        <v>466.8261991501916</v>
      </c>
      <c r="F61" s="1"/>
    </row>
    <row r="62" spans="1:6" x14ac:dyDescent="0.3">
      <c r="A62" s="16" t="s">
        <v>2</v>
      </c>
      <c r="B62" s="2">
        <v>2007</v>
      </c>
      <c r="C62" s="3">
        <v>0.63946180191059177</v>
      </c>
      <c r="D62" s="4">
        <v>6.8083149813307378</v>
      </c>
      <c r="E62" s="17">
        <v>323.76787206450132</v>
      </c>
      <c r="F62" s="1"/>
    </row>
    <row r="63" spans="1:6" x14ac:dyDescent="0.3">
      <c r="A63" s="16" t="s">
        <v>2</v>
      </c>
      <c r="B63" s="2">
        <v>2008</v>
      </c>
      <c r="C63" s="3">
        <v>0.36426643508960155</v>
      </c>
      <c r="D63" s="4">
        <v>1008.3602117309338</v>
      </c>
      <c r="E63" s="17">
        <v>371.37827227520756</v>
      </c>
      <c r="F63" s="1"/>
    </row>
    <row r="64" spans="1:6" x14ac:dyDescent="0.3">
      <c r="A64" s="16" t="s">
        <v>2</v>
      </c>
      <c r="B64" s="2">
        <v>2009</v>
      </c>
      <c r="C64" s="3">
        <v>0.10037430109210509</v>
      </c>
      <c r="D64" s="4">
        <v>441.32002741369547</v>
      </c>
      <c r="E64" s="17">
        <v>551.22775302234356</v>
      </c>
      <c r="F64" s="1"/>
    </row>
    <row r="65" spans="1:6" x14ac:dyDescent="0.3">
      <c r="A65" s="16" t="s">
        <v>2</v>
      </c>
      <c r="B65" s="2">
        <v>2010</v>
      </c>
      <c r="C65" s="3">
        <v>0.59072662706021517</v>
      </c>
      <c r="D65" s="4">
        <v>791.61247311187708</v>
      </c>
      <c r="E65" s="17">
        <v>952.82882275248903</v>
      </c>
      <c r="F65" s="1"/>
    </row>
    <row r="66" spans="1:6" x14ac:dyDescent="0.3">
      <c r="A66" s="16" t="s">
        <v>2</v>
      </c>
      <c r="B66" s="2">
        <v>2011</v>
      </c>
      <c r="C66" s="3">
        <v>0.65268454130865805</v>
      </c>
      <c r="D66" s="4">
        <v>493.50030750570517</v>
      </c>
      <c r="E66" s="17">
        <v>722.73161827259457</v>
      </c>
      <c r="F66" s="1"/>
    </row>
    <row r="67" spans="1:6" x14ac:dyDescent="0.3">
      <c r="A67" s="16" t="s">
        <v>2</v>
      </c>
      <c r="B67" s="2">
        <v>2012</v>
      </c>
      <c r="C67" s="3">
        <v>2.3621645801711211E-2</v>
      </c>
      <c r="D67" s="4">
        <v>1215.9134282849968</v>
      </c>
      <c r="E67" s="17">
        <v>922.6061309481172</v>
      </c>
      <c r="F67" s="1"/>
    </row>
    <row r="68" spans="1:6" x14ac:dyDescent="0.3">
      <c r="A68" s="16" t="s">
        <v>2</v>
      </c>
      <c r="B68" s="2">
        <v>2013</v>
      </c>
      <c r="C68" s="3">
        <v>0.16566130855375535</v>
      </c>
      <c r="D68" s="4">
        <v>1188.2929119351545</v>
      </c>
      <c r="E68" s="17">
        <v>734.21570659157305</v>
      </c>
      <c r="F68" s="1"/>
    </row>
    <row r="69" spans="1:6" x14ac:dyDescent="0.3">
      <c r="A69" s="16" t="s">
        <v>2</v>
      </c>
      <c r="B69" s="2">
        <v>2014</v>
      </c>
      <c r="C69" s="3">
        <v>0.16724557764580752</v>
      </c>
      <c r="D69" s="4">
        <v>1517.9249319791058</v>
      </c>
      <c r="E69" s="17">
        <v>1069.3630700839508</v>
      </c>
      <c r="F69" s="1"/>
    </row>
    <row r="70" spans="1:6" x14ac:dyDescent="0.3">
      <c r="A70" s="16" t="s">
        <v>3</v>
      </c>
      <c r="B70" s="2">
        <v>1998</v>
      </c>
      <c r="C70" s="3">
        <v>0.5425812367035745</v>
      </c>
      <c r="D70" s="4">
        <v>1411.8878929832779</v>
      </c>
      <c r="E70" s="17">
        <v>85.943807961081689</v>
      </c>
      <c r="F70" s="1"/>
    </row>
    <row r="71" spans="1:6" x14ac:dyDescent="0.3">
      <c r="A71" s="16" t="s">
        <v>3</v>
      </c>
      <c r="B71" s="2">
        <v>1999</v>
      </c>
      <c r="C71" s="3">
        <v>0.15021524897159788</v>
      </c>
      <c r="D71" s="4">
        <v>796.28657078170727</v>
      </c>
      <c r="E71" s="17">
        <v>202.99732761696475</v>
      </c>
      <c r="F71" s="1"/>
    </row>
    <row r="72" spans="1:6" x14ac:dyDescent="0.3">
      <c r="A72" s="16" t="s">
        <v>3</v>
      </c>
      <c r="B72" s="2">
        <v>2000</v>
      </c>
      <c r="C72" s="3">
        <v>0.32696287996760359</v>
      </c>
      <c r="D72" s="4">
        <v>228.06701498778656</v>
      </c>
      <c r="E72" s="17">
        <v>511.28236649857308</v>
      </c>
      <c r="F72" s="1"/>
    </row>
    <row r="73" spans="1:6" x14ac:dyDescent="0.3">
      <c r="A73" s="16" t="s">
        <v>3</v>
      </c>
      <c r="B73" s="2">
        <v>2001</v>
      </c>
      <c r="C73" s="3">
        <v>0.38628871447100643</v>
      </c>
      <c r="D73" s="4">
        <v>685.49422408275382</v>
      </c>
      <c r="E73" s="17">
        <v>602.51207628607506</v>
      </c>
      <c r="F73" s="1"/>
    </row>
    <row r="74" spans="1:6" x14ac:dyDescent="0.3">
      <c r="A74" s="16" t="s">
        <v>3</v>
      </c>
      <c r="B74" s="2">
        <v>2002</v>
      </c>
      <c r="C74" s="3">
        <v>0.93828445361984414</v>
      </c>
      <c r="D74" s="4">
        <v>1198.8279357431395</v>
      </c>
      <c r="E74" s="17">
        <v>158.51874356953078</v>
      </c>
      <c r="F74" s="1"/>
    </row>
    <row r="75" spans="1:6" x14ac:dyDescent="0.3">
      <c r="A75" s="16" t="s">
        <v>3</v>
      </c>
      <c r="B75" s="2">
        <v>2003</v>
      </c>
      <c r="C75" s="3">
        <v>0.44866157317857269</v>
      </c>
      <c r="D75" s="4">
        <v>154.04783100893349</v>
      </c>
      <c r="E75" s="17">
        <v>760.22984704149212</v>
      </c>
      <c r="F75" s="1"/>
    </row>
    <row r="76" spans="1:6" x14ac:dyDescent="0.3">
      <c r="A76" s="16" t="s">
        <v>3</v>
      </c>
      <c r="B76" s="2">
        <v>2004</v>
      </c>
      <c r="C76" s="3">
        <v>0.12017385802666139</v>
      </c>
      <c r="D76" s="4">
        <v>1081.8407215752766</v>
      </c>
      <c r="E76" s="17">
        <v>1129.6774149266196</v>
      </c>
      <c r="F76" s="1"/>
    </row>
    <row r="77" spans="1:6" x14ac:dyDescent="0.3">
      <c r="A77" s="16" t="s">
        <v>3</v>
      </c>
      <c r="B77" s="2">
        <v>2005</v>
      </c>
      <c r="C77" s="3">
        <v>0.13823764528902771</v>
      </c>
      <c r="D77" s="4">
        <v>1438.6649739170336</v>
      </c>
      <c r="E77" s="17">
        <v>23.621587355799623</v>
      </c>
      <c r="F77" s="1"/>
    </row>
    <row r="78" spans="1:6" x14ac:dyDescent="0.3">
      <c r="A78" s="16" t="s">
        <v>3</v>
      </c>
      <c r="B78" s="2">
        <v>2006</v>
      </c>
      <c r="C78" s="3">
        <v>0.1409852683734045</v>
      </c>
      <c r="D78" s="4">
        <v>1603.8050475726209</v>
      </c>
      <c r="E78" s="17">
        <v>71.690480149437647</v>
      </c>
      <c r="F78" s="1"/>
    </row>
    <row r="79" spans="1:6" x14ac:dyDescent="0.3">
      <c r="A79" s="16" t="s">
        <v>3</v>
      </c>
      <c r="B79" s="2">
        <v>2007</v>
      </c>
      <c r="C79" s="3">
        <v>0.30292034513586752</v>
      </c>
      <c r="D79" s="4">
        <v>723.73368684267234</v>
      </c>
      <c r="E79" s="17">
        <v>1095.1641949487089</v>
      </c>
      <c r="F79" s="1"/>
    </row>
    <row r="80" spans="1:6" x14ac:dyDescent="0.3">
      <c r="A80" s="16" t="s">
        <v>3</v>
      </c>
      <c r="B80" s="2">
        <v>2008</v>
      </c>
      <c r="C80" s="3">
        <v>0.2843195386866802</v>
      </c>
      <c r="D80" s="4">
        <v>216.75085522895898</v>
      </c>
      <c r="E80" s="17">
        <v>810.52611214191222</v>
      </c>
      <c r="F80" s="1"/>
    </row>
    <row r="81" spans="1:6" x14ac:dyDescent="0.3">
      <c r="A81" s="16" t="s">
        <v>3</v>
      </c>
      <c r="B81" s="2">
        <v>2009</v>
      </c>
      <c r="C81" s="3">
        <v>0.44315120848654849</v>
      </c>
      <c r="D81" s="4">
        <v>983.43915965837027</v>
      </c>
      <c r="E81" s="17">
        <v>823.29597013640705</v>
      </c>
      <c r="F81" s="1"/>
    </row>
    <row r="82" spans="1:6" x14ac:dyDescent="0.3">
      <c r="A82" s="16" t="s">
        <v>3</v>
      </c>
      <c r="B82" s="2">
        <v>2010</v>
      </c>
      <c r="C82" s="3">
        <v>0.1345137975713834</v>
      </c>
      <c r="D82" s="4">
        <v>529.15832899378131</v>
      </c>
      <c r="E82" s="17">
        <v>22.082634318541043</v>
      </c>
      <c r="F82" s="1"/>
    </row>
    <row r="83" spans="1:6" x14ac:dyDescent="0.3">
      <c r="A83" s="16" t="s">
        <v>3</v>
      </c>
      <c r="B83" s="2">
        <v>2011</v>
      </c>
      <c r="C83" s="3">
        <v>0.34619637149833454</v>
      </c>
      <c r="D83" s="4">
        <v>963.2619108520513</v>
      </c>
      <c r="E83" s="17">
        <v>686.83712912169165</v>
      </c>
      <c r="F83" s="1"/>
    </row>
    <row r="84" spans="1:6" x14ac:dyDescent="0.3">
      <c r="A84" s="16" t="s">
        <v>3</v>
      </c>
      <c r="B84" s="2">
        <v>2012</v>
      </c>
      <c r="C84" s="3">
        <v>0.6423482871964854</v>
      </c>
      <c r="D84" s="4">
        <v>1154.8678421470056</v>
      </c>
      <c r="E84" s="17">
        <v>398.42621714716455</v>
      </c>
      <c r="F84" s="1"/>
    </row>
    <row r="85" spans="1:6" x14ac:dyDescent="0.3">
      <c r="A85" s="16" t="s">
        <v>3</v>
      </c>
      <c r="B85" s="2">
        <v>2013</v>
      </c>
      <c r="C85" s="3">
        <v>5.2363764967962106E-2</v>
      </c>
      <c r="D85" s="4">
        <v>962.6906229600088</v>
      </c>
      <c r="E85" s="17">
        <v>270.44796936603802</v>
      </c>
      <c r="F85" s="1"/>
    </row>
    <row r="86" spans="1:6" x14ac:dyDescent="0.3">
      <c r="A86" s="16" t="s">
        <v>3</v>
      </c>
      <c r="B86" s="2">
        <v>2014</v>
      </c>
      <c r="C86" s="3">
        <v>0.70747194772945643</v>
      </c>
      <c r="D86" s="4">
        <v>1215.0963503257015</v>
      </c>
      <c r="E86" s="17">
        <v>891.93850861199428</v>
      </c>
      <c r="F86" s="1"/>
    </row>
    <row r="87" spans="1:6" x14ac:dyDescent="0.3">
      <c r="A87" s="16" t="s">
        <v>4</v>
      </c>
      <c r="B87" s="2">
        <v>1998</v>
      </c>
      <c r="C87" s="3">
        <v>0.55423046864484271</v>
      </c>
      <c r="D87" s="4">
        <v>911.62330178932518</v>
      </c>
      <c r="E87" s="17">
        <v>820.12835015319536</v>
      </c>
      <c r="F87" s="1"/>
    </row>
    <row r="88" spans="1:6" x14ac:dyDescent="0.3">
      <c r="A88" s="16" t="s">
        <v>4</v>
      </c>
      <c r="B88" s="2">
        <v>1999</v>
      </c>
      <c r="C88" s="3">
        <v>0.24440750824755561</v>
      </c>
      <c r="D88" s="4">
        <v>1469.083902022131</v>
      </c>
      <c r="E88" s="17">
        <v>269.52623569388192</v>
      </c>
      <c r="F88" s="1"/>
    </row>
    <row r="89" spans="1:6" x14ac:dyDescent="0.3">
      <c r="A89" s="16" t="s">
        <v>4</v>
      </c>
      <c r="B89" s="2">
        <v>2000</v>
      </c>
      <c r="C89" s="3">
        <v>0.5424823624605295</v>
      </c>
      <c r="D89" s="4">
        <v>1954.5143419985179</v>
      </c>
      <c r="E89" s="17">
        <v>793.02694085313317</v>
      </c>
      <c r="F89" s="1"/>
    </row>
    <row r="90" spans="1:6" x14ac:dyDescent="0.3">
      <c r="A90" s="16" t="s">
        <v>4</v>
      </c>
      <c r="B90" s="2">
        <v>2001</v>
      </c>
      <c r="C90" s="3">
        <v>0.59841007952046499</v>
      </c>
      <c r="D90" s="4">
        <v>1095.8600255543527</v>
      </c>
      <c r="E90" s="17">
        <v>622.95923389121936</v>
      </c>
      <c r="F90" s="1"/>
    </row>
    <row r="91" spans="1:6" x14ac:dyDescent="0.3">
      <c r="A91" s="16" t="s">
        <v>4</v>
      </c>
      <c r="B91" s="2">
        <v>2002</v>
      </c>
      <c r="C91" s="3">
        <v>4.6417453283253564E-2</v>
      </c>
      <c r="D91" s="4">
        <v>898.53668224188038</v>
      </c>
      <c r="E91" s="17">
        <v>1579.0888344576185</v>
      </c>
      <c r="F91" s="1"/>
    </row>
    <row r="92" spans="1:6" x14ac:dyDescent="0.3">
      <c r="A92" s="16" t="s">
        <v>4</v>
      </c>
      <c r="B92" s="2">
        <v>2003</v>
      </c>
      <c r="C92" s="3">
        <v>0.1323963011579537</v>
      </c>
      <c r="D92" s="4">
        <v>926.75174524211582</v>
      </c>
      <c r="E92" s="17">
        <v>1018.3629063064708</v>
      </c>
      <c r="F92" s="1"/>
    </row>
    <row r="93" spans="1:6" x14ac:dyDescent="0.3">
      <c r="A93" s="16" t="s">
        <v>4</v>
      </c>
      <c r="B93" s="2">
        <v>2004</v>
      </c>
      <c r="C93" s="3">
        <v>1.0495177037808374</v>
      </c>
      <c r="D93" s="4">
        <v>648.76995234133869</v>
      </c>
      <c r="E93" s="17">
        <v>238.25542673796397</v>
      </c>
      <c r="F93" s="1"/>
    </row>
    <row r="94" spans="1:6" x14ac:dyDescent="0.3">
      <c r="A94" s="16" t="s">
        <v>4</v>
      </c>
      <c r="B94" s="2">
        <v>2005</v>
      </c>
      <c r="C94" s="3">
        <v>0.36540505043816857</v>
      </c>
      <c r="D94" s="4">
        <v>222.42318113941852</v>
      </c>
      <c r="E94" s="17">
        <v>194.98014921238575</v>
      </c>
      <c r="F94" s="1"/>
    </row>
    <row r="95" spans="1:6" x14ac:dyDescent="0.3">
      <c r="A95" s="16" t="s">
        <v>4</v>
      </c>
      <c r="B95" s="2">
        <v>2006</v>
      </c>
      <c r="C95" s="3">
        <v>0.85167566981040732</v>
      </c>
      <c r="D95" s="4">
        <v>908.79673401579396</v>
      </c>
      <c r="E95" s="17">
        <v>591.28400132939919</v>
      </c>
      <c r="F95" s="1"/>
    </row>
    <row r="96" spans="1:6" x14ac:dyDescent="0.3">
      <c r="A96" s="16" t="s">
        <v>4</v>
      </c>
      <c r="B96" s="2">
        <v>2007</v>
      </c>
      <c r="C96" s="3">
        <v>0.10824730558335036</v>
      </c>
      <c r="D96" s="4">
        <v>2302.5679572892254</v>
      </c>
      <c r="E96" s="17">
        <v>3153.3889401339884</v>
      </c>
      <c r="F96" s="1"/>
    </row>
    <row r="97" spans="1:6" x14ac:dyDescent="0.3">
      <c r="A97" s="16" t="s">
        <v>4</v>
      </c>
      <c r="B97" s="2">
        <v>2008</v>
      </c>
      <c r="C97" s="3">
        <v>0.36327001307336365</v>
      </c>
      <c r="D97" s="4">
        <v>2925.1610771723981</v>
      </c>
      <c r="E97" s="17">
        <v>3803.9098037809335</v>
      </c>
      <c r="F97" s="1"/>
    </row>
    <row r="98" spans="1:6" x14ac:dyDescent="0.3">
      <c r="A98" s="16" t="s">
        <v>4</v>
      </c>
      <c r="B98" s="2">
        <v>2009</v>
      </c>
      <c r="C98" s="3">
        <v>0.80540450278203835</v>
      </c>
      <c r="D98" s="4">
        <v>982.44701960165082</v>
      </c>
      <c r="E98" s="17">
        <v>1321.0571313985545</v>
      </c>
      <c r="F98" s="1"/>
    </row>
    <row r="99" spans="1:6" x14ac:dyDescent="0.3">
      <c r="A99" s="16" t="s">
        <v>4</v>
      </c>
      <c r="B99" s="2">
        <v>2010</v>
      </c>
      <c r="C99" s="3">
        <v>0.84701562108208983</v>
      </c>
      <c r="D99" s="4">
        <v>533.70775386357991</v>
      </c>
      <c r="E99" s="17">
        <v>250.84204997715315</v>
      </c>
      <c r="F99" s="1"/>
    </row>
    <row r="100" spans="1:6" x14ac:dyDescent="0.3">
      <c r="A100" s="16" t="s">
        <v>4</v>
      </c>
      <c r="B100" s="2">
        <v>2011</v>
      </c>
      <c r="C100" s="3">
        <v>2.8751464640387872E-2</v>
      </c>
      <c r="D100" s="4">
        <v>4551.8693411450577</v>
      </c>
      <c r="E100" s="17">
        <v>2055.0799871838212</v>
      </c>
      <c r="F100" s="1"/>
    </row>
    <row r="101" spans="1:6" x14ac:dyDescent="0.3">
      <c r="A101" s="16" t="s">
        <v>4</v>
      </c>
      <c r="B101" s="2">
        <v>2012</v>
      </c>
      <c r="C101" s="3">
        <v>0.18887358863529369</v>
      </c>
      <c r="D101" s="4">
        <v>2214.4550705685292</v>
      </c>
      <c r="E101" s="17">
        <v>4484.3587455590405</v>
      </c>
      <c r="F101" s="1"/>
    </row>
    <row r="102" spans="1:6" x14ac:dyDescent="0.3">
      <c r="A102" s="16" t="s">
        <v>4</v>
      </c>
      <c r="B102" s="2">
        <v>2013</v>
      </c>
      <c r="C102" s="3">
        <v>0.21099685923473677</v>
      </c>
      <c r="D102" s="4">
        <v>4596.4200684482648</v>
      </c>
      <c r="E102" s="17">
        <v>888.48796109127318</v>
      </c>
      <c r="F102" s="1"/>
    </row>
    <row r="103" spans="1:6" x14ac:dyDescent="0.3">
      <c r="A103" s="16" t="s">
        <v>4</v>
      </c>
      <c r="B103" s="2">
        <v>2014</v>
      </c>
      <c r="C103" s="3">
        <v>0.45322429369241218</v>
      </c>
      <c r="D103" s="4">
        <v>2030.8457102377924</v>
      </c>
      <c r="E103" s="17">
        <v>4305.5690706527957</v>
      </c>
      <c r="F103" s="1"/>
    </row>
    <row r="104" spans="1:6" x14ac:dyDescent="0.3">
      <c r="A104" s="16" t="s">
        <v>5</v>
      </c>
      <c r="B104" s="2">
        <v>1998</v>
      </c>
      <c r="C104" s="3">
        <v>0.30109073762172539</v>
      </c>
      <c r="D104" s="4">
        <v>714.48044387270409</v>
      </c>
      <c r="E104" s="17">
        <v>589.55072685584366</v>
      </c>
      <c r="F104" s="1"/>
    </row>
    <row r="105" spans="1:6" x14ac:dyDescent="0.3">
      <c r="A105" s="16" t="s">
        <v>5</v>
      </c>
      <c r="B105" s="2">
        <v>1999</v>
      </c>
      <c r="C105" s="3">
        <v>0.39176695521334204</v>
      </c>
      <c r="D105" s="4">
        <v>987.04977822862054</v>
      </c>
      <c r="E105" s="17">
        <v>1566.2325917515905</v>
      </c>
      <c r="F105" s="1"/>
    </row>
    <row r="106" spans="1:6" x14ac:dyDescent="0.3">
      <c r="A106" s="16" t="s">
        <v>5</v>
      </c>
      <c r="B106" s="2">
        <v>2000</v>
      </c>
      <c r="C106" s="3">
        <v>0.19096711982014403</v>
      </c>
      <c r="D106" s="4">
        <v>1080.7856354486726</v>
      </c>
      <c r="E106" s="17">
        <v>1439.6547624087275</v>
      </c>
      <c r="F106" s="1"/>
    </row>
    <row r="107" spans="1:6" x14ac:dyDescent="0.3">
      <c r="A107" s="16" t="s">
        <v>5</v>
      </c>
      <c r="B107" s="2">
        <v>2001</v>
      </c>
      <c r="C107" s="3">
        <v>5.5605299050830323E-2</v>
      </c>
      <c r="D107" s="4">
        <v>190.93147989709922</v>
      </c>
      <c r="E107" s="17">
        <v>1377.9678614054558</v>
      </c>
      <c r="F107" s="1"/>
    </row>
    <row r="108" spans="1:6" x14ac:dyDescent="0.3">
      <c r="A108" s="16" t="s">
        <v>5</v>
      </c>
      <c r="B108" s="2">
        <v>2002</v>
      </c>
      <c r="C108" s="3">
        <v>3.9148861250523498E-2</v>
      </c>
      <c r="D108" s="4">
        <v>209.68923334788903</v>
      </c>
      <c r="E108" s="17">
        <v>1411.0392618666508</v>
      </c>
      <c r="F108" s="1"/>
    </row>
    <row r="109" spans="1:6" x14ac:dyDescent="0.3">
      <c r="A109" s="16" t="s">
        <v>5</v>
      </c>
      <c r="B109" s="2">
        <v>2003</v>
      </c>
      <c r="C109" s="3">
        <v>0.67370764936523875</v>
      </c>
      <c r="D109" s="4">
        <v>104.08234318594164</v>
      </c>
      <c r="E109" s="17">
        <v>441.81595134830854</v>
      </c>
      <c r="F109" s="1"/>
    </row>
    <row r="110" spans="1:6" x14ac:dyDescent="0.3">
      <c r="A110" s="16" t="s">
        <v>5</v>
      </c>
      <c r="B110" s="2">
        <v>2004</v>
      </c>
      <c r="C110" s="3">
        <v>1.3068072033389648</v>
      </c>
      <c r="D110" s="4">
        <v>656.82858816446344</v>
      </c>
      <c r="E110" s="17">
        <v>1433.8950238590955</v>
      </c>
      <c r="F110" s="1"/>
    </row>
    <row r="111" spans="1:6" x14ac:dyDescent="0.3">
      <c r="A111" s="16" t="s">
        <v>5</v>
      </c>
      <c r="B111" s="2">
        <v>2005</v>
      </c>
      <c r="C111" s="3">
        <v>0.6770279018294113</v>
      </c>
      <c r="D111" s="4">
        <v>930.95021227949144</v>
      </c>
      <c r="E111" s="17">
        <v>1076.0179476001238</v>
      </c>
      <c r="F111" s="1"/>
    </row>
    <row r="112" spans="1:6" x14ac:dyDescent="0.3">
      <c r="A112" s="16" t="s">
        <v>5</v>
      </c>
      <c r="B112" s="2">
        <v>2006</v>
      </c>
      <c r="C112" s="3">
        <v>1.7007334420048693E-2</v>
      </c>
      <c r="D112" s="4">
        <v>163.57375267639364</v>
      </c>
      <c r="E112" s="17">
        <v>412.34176408963486</v>
      </c>
      <c r="F112" s="1"/>
    </row>
    <row r="113" spans="1:6" x14ac:dyDescent="0.3">
      <c r="A113" s="16" t="s">
        <v>5</v>
      </c>
      <c r="B113" s="2">
        <v>2007</v>
      </c>
      <c r="C113" s="3">
        <v>0.10938145706538334</v>
      </c>
      <c r="D113" s="4">
        <v>681.40922139004442</v>
      </c>
      <c r="E113" s="17">
        <v>785.53794698174954</v>
      </c>
      <c r="F113" s="1"/>
    </row>
    <row r="114" spans="1:6" x14ac:dyDescent="0.3">
      <c r="A114" s="16" t="s">
        <v>5</v>
      </c>
      <c r="B114" s="2">
        <v>2008</v>
      </c>
      <c r="C114" s="3">
        <v>0.21846920359699926</v>
      </c>
      <c r="D114" s="4">
        <v>1106.9781503246018</v>
      </c>
      <c r="E114" s="17">
        <v>615.85832722200018</v>
      </c>
      <c r="F114" s="1"/>
    </row>
    <row r="115" spans="1:6" x14ac:dyDescent="0.3">
      <c r="A115" s="16" t="s">
        <v>5</v>
      </c>
      <c r="B115" s="2">
        <v>2009</v>
      </c>
      <c r="C115" s="3">
        <v>0.82285978108486024</v>
      </c>
      <c r="D115" s="4">
        <v>1611.2069361512733</v>
      </c>
      <c r="E115" s="17">
        <v>1288.1869871854858</v>
      </c>
      <c r="F115" s="1"/>
    </row>
    <row r="116" spans="1:6" x14ac:dyDescent="0.3">
      <c r="A116" s="16" t="s">
        <v>5</v>
      </c>
      <c r="B116" s="2">
        <v>2010</v>
      </c>
      <c r="C116" s="3">
        <v>0.65901974278929043</v>
      </c>
      <c r="D116" s="4">
        <v>2863.6314022746683</v>
      </c>
      <c r="E116" s="17">
        <v>2116.8223693281966</v>
      </c>
      <c r="F116" s="1"/>
    </row>
    <row r="117" spans="1:6" x14ac:dyDescent="0.3">
      <c r="A117" s="16" t="s">
        <v>5</v>
      </c>
      <c r="B117" s="2">
        <v>2011</v>
      </c>
      <c r="C117" s="3">
        <v>0.26098192184490798</v>
      </c>
      <c r="D117" s="4">
        <v>3330.0539290138868</v>
      </c>
      <c r="E117" s="17">
        <v>1434.9902304295501</v>
      </c>
      <c r="F117" s="1"/>
    </row>
    <row r="118" spans="1:6" x14ac:dyDescent="0.3">
      <c r="A118" s="16" t="s">
        <v>5</v>
      </c>
      <c r="B118" s="2">
        <v>2012</v>
      </c>
      <c r="C118" s="3">
        <v>0.13655201741975012</v>
      </c>
      <c r="D118" s="4">
        <v>1417.6873613995017</v>
      </c>
      <c r="E118" s="17">
        <v>1032.2001506495142</v>
      </c>
      <c r="F118" s="1"/>
    </row>
    <row r="119" spans="1:6" x14ac:dyDescent="0.3">
      <c r="A119" s="16" t="s">
        <v>5</v>
      </c>
      <c r="B119" s="2">
        <v>2013</v>
      </c>
      <c r="C119" s="3">
        <v>0.70890068213188262</v>
      </c>
      <c r="D119" s="4">
        <v>3354.8747993440361</v>
      </c>
      <c r="E119" s="17">
        <v>255.56517668676534</v>
      </c>
      <c r="F119" s="1"/>
    </row>
    <row r="120" spans="1:6" x14ac:dyDescent="0.3">
      <c r="A120" s="22" t="s">
        <v>5</v>
      </c>
      <c r="B120" s="23">
        <v>2014</v>
      </c>
      <c r="C120" s="24">
        <v>0.37773378713177003</v>
      </c>
      <c r="D120" s="25">
        <v>2859.0237667034426</v>
      </c>
      <c r="E120" s="26">
        <v>56.543056569747591</v>
      </c>
      <c r="F120" s="1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設定</vt:lpstr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Excel</dc:creator>
  <cp:lastModifiedBy>Excel</cp:lastModifiedBy>
  <dcterms:created xsi:type="dcterms:W3CDTF">2006-09-16T00:00:00Z</dcterms:created>
  <dcterms:modified xsi:type="dcterms:W3CDTF">2016-10-03T15:59:05Z</dcterms:modified>
</cp:coreProperties>
</file>