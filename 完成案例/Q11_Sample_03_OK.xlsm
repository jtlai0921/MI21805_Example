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個資\2016BOOK\BOOK\2016EXCELVBA\完成案例\"/>
    </mc:Choice>
  </mc:AlternateContent>
  <bookViews>
    <workbookView xWindow="0" yWindow="0" windowWidth="16395" windowHeight="5610" activeTab="2"/>
  </bookViews>
  <sheets>
    <sheet name="設定" sheetId="3" r:id="rId1"/>
    <sheet name="員工基本資料" sheetId="1" r:id="rId2"/>
    <sheet name="個人資料範本" sheetId="2" r:id="rId3"/>
  </sheets>
  <definedNames>
    <definedName name="出生日期">員工基本資料!$D$2:$D$51</definedName>
    <definedName name="目前月薪資">員工基本資料!$I$2:$I$51</definedName>
    <definedName name="地址">員工基本資料!$J$2:$J$51</definedName>
    <definedName name="年假天數">員工基本資料!$K$2:$K$51</definedName>
    <definedName name="年資">員工基本資料!$H$2:$H$51</definedName>
    <definedName name="到職日期">員工基本資料!$G$2:$G$51</definedName>
    <definedName name="姓名">員工基本資料!$B$2:$B$51</definedName>
    <definedName name="員工編號">員工基本資料!$A$2:$A$51</definedName>
    <definedName name="現任職稱">員工基本資料!$E$2:$E$51</definedName>
    <definedName name="部門名稱">員工基本資料!$C$2:$C$51</definedName>
    <definedName name="電話">員工基本資料!$F$2:$F$51</definedName>
  </definedNames>
  <calcPr calcId="162913"/>
</workbook>
</file>

<file path=xl/calcChain.xml><?xml version="1.0" encoding="utf-8"?>
<calcChain xmlns="http://schemas.openxmlformats.org/spreadsheetml/2006/main">
  <c r="B4" i="2" l="1"/>
  <c r="B5" i="2"/>
  <c r="D6" i="2"/>
  <c r="D3" i="2"/>
  <c r="D4" i="2"/>
  <c r="B6" i="2"/>
  <c r="D8" i="2"/>
  <c r="B7" i="2"/>
  <c r="D5" i="2"/>
  <c r="B8" i="2"/>
  <c r="C7" i="2" l="1"/>
  <c r="D7" i="2" l="1"/>
</calcChain>
</file>

<file path=xl/comments1.xml><?xml version="1.0" encoding="utf-8"?>
<comments xmlns="http://schemas.openxmlformats.org/spreadsheetml/2006/main">
  <authors>
    <author>Excel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Excel: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若選擇「是」系統將以「寬度」作為設定值。</t>
        </r>
      </text>
    </comment>
  </commentList>
</comments>
</file>

<file path=xl/sharedStrings.xml><?xml version="1.0" encoding="utf-8"?>
<sst xmlns="http://schemas.openxmlformats.org/spreadsheetml/2006/main" count="342" uniqueCount="262">
  <si>
    <t>姓名</t>
  </si>
  <si>
    <t>現任職稱</t>
  </si>
  <si>
    <t>地址</t>
  </si>
  <si>
    <t>電話</t>
  </si>
  <si>
    <t>目前月薪資</t>
  </si>
  <si>
    <t>年假天數</t>
  </si>
  <si>
    <t>方重圍</t>
  </si>
  <si>
    <t>顧問工程師</t>
  </si>
  <si>
    <t>035-780050</t>
  </si>
  <si>
    <t>何茂宗</t>
  </si>
  <si>
    <t>總經理</t>
  </si>
  <si>
    <t>02-5020238</t>
  </si>
  <si>
    <t>黃慧萍</t>
  </si>
  <si>
    <t>特別助理</t>
  </si>
  <si>
    <t>02-9179261</t>
  </si>
  <si>
    <t>林建興</t>
  </si>
  <si>
    <t>研發副總</t>
  </si>
  <si>
    <t>08-7379531</t>
  </si>
  <si>
    <t>蔡豪鈞</t>
  </si>
  <si>
    <t>業務副總</t>
  </si>
  <si>
    <t>03-4905265</t>
  </si>
  <si>
    <t>林森和</t>
  </si>
  <si>
    <t>助理工程師</t>
  </si>
  <si>
    <t>(02)515-0000</t>
  </si>
  <si>
    <t>黃志文</t>
  </si>
  <si>
    <t>研發副理</t>
  </si>
  <si>
    <t>02-7043828</t>
  </si>
  <si>
    <t>張藍方</t>
  </si>
  <si>
    <t>研發經理</t>
  </si>
  <si>
    <t>02-7593733</t>
  </si>
  <si>
    <t>徐煥坤</t>
  </si>
  <si>
    <t>資深工程師</t>
  </si>
  <si>
    <t>02-2685871</t>
  </si>
  <si>
    <t>王德惠</t>
  </si>
  <si>
    <t>研發工程師</t>
  </si>
  <si>
    <t>02-9174400</t>
  </si>
  <si>
    <t>莊清媚</t>
  </si>
  <si>
    <t>04-2374989</t>
  </si>
  <si>
    <t>張景松</t>
  </si>
  <si>
    <t>副工程師</t>
  </si>
  <si>
    <t>04-3592345</t>
  </si>
  <si>
    <t>李垂文</t>
  </si>
  <si>
    <t>(04)491-4141#254</t>
  </si>
  <si>
    <t>盧大為</t>
  </si>
  <si>
    <t>02-5559211</t>
  </si>
  <si>
    <t>江正維</t>
  </si>
  <si>
    <t>02-7649130</t>
  </si>
  <si>
    <t>鍾智慧</t>
  </si>
  <si>
    <t>02-7752450</t>
  </si>
  <si>
    <t>方鎮深</t>
  </si>
  <si>
    <t>02-8118101</t>
  </si>
  <si>
    <t>楊銘哲</t>
  </si>
  <si>
    <t>02-3111116</t>
  </si>
  <si>
    <t>王演銓</t>
  </si>
  <si>
    <t>03-3868956</t>
  </si>
  <si>
    <t>易君揚</t>
  </si>
  <si>
    <t>03-4753821</t>
  </si>
  <si>
    <t>鄭秀家</t>
  </si>
  <si>
    <t>07-2135522</t>
  </si>
  <si>
    <t>王玉治</t>
  </si>
  <si>
    <t>業務副理</t>
  </si>
  <si>
    <t>04-5331112</t>
  </si>
  <si>
    <t>林鳳春</t>
  </si>
  <si>
    <t>業務專員</t>
  </si>
  <si>
    <t>02-3936566</t>
  </si>
  <si>
    <t>葉秀珠</t>
  </si>
  <si>
    <t>業務助理</t>
  </si>
  <si>
    <t>02-7832854</t>
  </si>
  <si>
    <t>陳曉蘭</t>
  </si>
  <si>
    <t>業務經理</t>
  </si>
  <si>
    <t>06-2306611</t>
  </si>
  <si>
    <t>吳美成</t>
  </si>
  <si>
    <t>資深專員</t>
  </si>
  <si>
    <t>04-7352182</t>
  </si>
  <si>
    <t>莊國雄</t>
  </si>
  <si>
    <t>04-5343566</t>
  </si>
  <si>
    <t>向大鵬</t>
  </si>
  <si>
    <t>02-5031111</t>
  </si>
  <si>
    <t>陳詔芳</t>
  </si>
  <si>
    <t>07-2228856</t>
  </si>
  <si>
    <t>陳雅賢</t>
  </si>
  <si>
    <t>035-981491</t>
  </si>
  <si>
    <t>吳國信</t>
  </si>
  <si>
    <t>04-7695161~4</t>
  </si>
  <si>
    <t>張志輝</t>
  </si>
  <si>
    <t>04-6991173</t>
  </si>
  <si>
    <t>林玉堂</t>
  </si>
  <si>
    <t>02-5926597</t>
  </si>
  <si>
    <t>張世興</t>
  </si>
  <si>
    <t>02-6228750</t>
  </si>
  <si>
    <t>朱金倉</t>
  </si>
  <si>
    <t>07-3712111</t>
  </si>
  <si>
    <t>謝穎青</t>
  </si>
  <si>
    <t>07-3711696</t>
  </si>
  <si>
    <t>毛渝南</t>
  </si>
  <si>
    <t>02-3779968</t>
  </si>
  <si>
    <t>郭曜明</t>
  </si>
  <si>
    <t>02-7532121</t>
  </si>
  <si>
    <t>李進祿</t>
  </si>
  <si>
    <t>02-7150669</t>
  </si>
  <si>
    <t>陳惠娟</t>
  </si>
  <si>
    <t>07-3853358</t>
  </si>
  <si>
    <t>林鵬翔</t>
  </si>
  <si>
    <t>04-7525121</t>
  </si>
  <si>
    <t>黃大倫</t>
  </si>
  <si>
    <t>採購經理</t>
  </si>
  <si>
    <t>04-6991191</t>
  </si>
  <si>
    <t>黃振清</t>
  </si>
  <si>
    <t>採購副理</t>
  </si>
  <si>
    <t>02-5976225</t>
  </si>
  <si>
    <t>林國和</t>
  </si>
  <si>
    <t>採購專員</t>
  </si>
  <si>
    <t>02-5559676</t>
  </si>
  <si>
    <t>黃秋好</t>
  </si>
  <si>
    <t>02-7912161</t>
  </si>
  <si>
    <t>陳弘昌</t>
  </si>
  <si>
    <t>採購助理</t>
  </si>
  <si>
    <t>06-2531221</t>
  </si>
  <si>
    <t>張琪</t>
  </si>
  <si>
    <t>03-3811811</t>
  </si>
  <si>
    <t>許鴻章</t>
  </si>
  <si>
    <t>維修經理</t>
  </si>
  <si>
    <t>04-7692511</t>
  </si>
  <si>
    <t>連邦俊</t>
  </si>
  <si>
    <t>維修助理</t>
  </si>
  <si>
    <t>02-7042162</t>
  </si>
  <si>
    <t>張治</t>
  </si>
  <si>
    <t>維修工程師</t>
  </si>
  <si>
    <t>02-7081881</t>
  </si>
  <si>
    <t>員工編號</t>
    <phoneticPr fontId="18" type="noConversion"/>
  </si>
  <si>
    <t>AE01</t>
    <phoneticPr fontId="18" type="noConversion"/>
  </si>
  <si>
    <t>AE02</t>
  </si>
  <si>
    <t>AE03</t>
  </si>
  <si>
    <t>AE04</t>
  </si>
  <si>
    <t>AE05</t>
  </si>
  <si>
    <t>AE06</t>
  </si>
  <si>
    <t>AE07</t>
  </si>
  <si>
    <t>AE08</t>
  </si>
  <si>
    <t>AE09</t>
  </si>
  <si>
    <t>AE10</t>
  </si>
  <si>
    <t>AE11</t>
  </si>
  <si>
    <t>AE12</t>
  </si>
  <si>
    <t>AE13</t>
  </si>
  <si>
    <t>AE14</t>
  </si>
  <si>
    <t>AE15</t>
  </si>
  <si>
    <t>AE16</t>
  </si>
  <si>
    <t>AE17</t>
  </si>
  <si>
    <t>AE18</t>
  </si>
  <si>
    <t>AE19</t>
  </si>
  <si>
    <t>AE20</t>
  </si>
  <si>
    <t>AE21</t>
  </si>
  <si>
    <t>AE22</t>
  </si>
  <si>
    <t>AE23</t>
  </si>
  <si>
    <t>AE24</t>
  </si>
  <si>
    <t>AE25</t>
  </si>
  <si>
    <t>AE26</t>
  </si>
  <si>
    <t>AE27</t>
  </si>
  <si>
    <t>AE28</t>
  </si>
  <si>
    <t>AE29</t>
  </si>
  <si>
    <t>AE30</t>
  </si>
  <si>
    <t>AE31</t>
  </si>
  <si>
    <t>AE32</t>
  </si>
  <si>
    <t>AE33</t>
  </si>
  <si>
    <t>AE34</t>
  </si>
  <si>
    <t>AE35</t>
  </si>
  <si>
    <t>AE36</t>
  </si>
  <si>
    <t>AE37</t>
  </si>
  <si>
    <t>AE38</t>
  </si>
  <si>
    <t>AE39</t>
  </si>
  <si>
    <t>AE40</t>
  </si>
  <si>
    <t>AE41</t>
  </si>
  <si>
    <t>AE42</t>
  </si>
  <si>
    <t>AE43</t>
  </si>
  <si>
    <t>AE44</t>
  </si>
  <si>
    <t>AE45</t>
  </si>
  <si>
    <t>AE46</t>
  </si>
  <si>
    <t>AE47</t>
  </si>
  <si>
    <t>AE48</t>
  </si>
  <si>
    <t>AE49</t>
  </si>
  <si>
    <t>AE50</t>
  </si>
  <si>
    <t>員工編號</t>
  </si>
  <si>
    <t>出生日期</t>
  </si>
  <si>
    <t>現任職稱</t>
    <phoneticPr fontId="18" type="noConversion"/>
  </si>
  <si>
    <t>年資</t>
    <phoneticPr fontId="18" type="noConversion"/>
  </si>
  <si>
    <t>電話</t>
    <phoneticPr fontId="18" type="noConversion"/>
  </si>
  <si>
    <t>年假天數</t>
    <phoneticPr fontId="18" type="noConversion"/>
  </si>
  <si>
    <t>地址</t>
    <phoneticPr fontId="18" type="noConversion"/>
  </si>
  <si>
    <t>300新竹市科學工業園區工業東四路7號2樓</t>
  </si>
  <si>
    <t>104台北市中山區松江路301號9樓</t>
  </si>
  <si>
    <t>231新北市新店市寶興路45巷5號3樓</t>
  </si>
  <si>
    <t>900屏東市中正路688巷46弄59號</t>
  </si>
  <si>
    <t>326桃園縣楊梅鎮高榮里新榮路339號</t>
  </si>
  <si>
    <t>104台北市民權東路3段37號12樓</t>
  </si>
  <si>
    <t>106台北市光復南路422號2樓之1</t>
  </si>
  <si>
    <t>110台北市松德路159號-1</t>
  </si>
  <si>
    <t>236新北市土城市福安街75號</t>
  </si>
  <si>
    <t>231新北市新店市寶中路123巷1號5樓</t>
  </si>
  <si>
    <t>404台中市北區漢口路4段367號11樓</t>
  </si>
  <si>
    <t>407台中市西屯區台中工業區工業五路3號</t>
  </si>
  <si>
    <t>412台中縣大里市仁化路261號</t>
  </si>
  <si>
    <t>103台北市大同區承德路一段40號12樓</t>
  </si>
  <si>
    <t>105台北市松山區南京東路5段5號2樓</t>
  </si>
  <si>
    <t>104台北市八德路二段260號9樓</t>
  </si>
  <si>
    <t>111台北市士林區社中街76號</t>
  </si>
  <si>
    <t>108台北市萬華區漢口街2段60號</t>
  </si>
  <si>
    <t>337桃園縣大園鄉北港村大工路31號</t>
  </si>
  <si>
    <t>326桃園縣楊梅鎮秀才路520號</t>
  </si>
  <si>
    <t>801高雄市五福三路21號6樓</t>
  </si>
  <si>
    <t>427台中縣潭子鄉建國路3之2號</t>
  </si>
  <si>
    <t>100台北市中正區杭洲南路1段15-1號19樓</t>
  </si>
  <si>
    <t>115台北市南港區成功路一段65號2&amp;3樓</t>
  </si>
  <si>
    <t>711台南縣歸仁鄉南興村中山路851號</t>
  </si>
  <si>
    <t>508彰化縣和美鎮彰美路二段106號</t>
  </si>
  <si>
    <t>427台中縣潭子鄉中山路三段493巷35號</t>
  </si>
  <si>
    <t>104台北市建國北路2段145號3樓</t>
  </si>
  <si>
    <t>800高雄市新興區中正二路182號8-1樓</t>
  </si>
  <si>
    <t>303新竹縣湖口鄉光復北路92號</t>
  </si>
  <si>
    <t>506彰化縣福興鄉萬豐村福工路12號</t>
  </si>
  <si>
    <t>432台中縣大肚鄉沙田路二段132巷60號</t>
  </si>
  <si>
    <t>104台北市松江路124巷21號4樓</t>
  </si>
  <si>
    <t>251新北市淡水鎮下圭柔山100-2號</t>
  </si>
  <si>
    <t>807高雄市三民區通化街120號</t>
  </si>
  <si>
    <t>814高雄縣仁武鄉仁心路311號</t>
  </si>
  <si>
    <t>106台北市大安區敦化南路2段218號</t>
  </si>
  <si>
    <t>105台北市中山區八德路四段111號</t>
  </si>
  <si>
    <t>105台北市松山區復興北路369號3樓</t>
  </si>
  <si>
    <t>807高雄市三民區灣興街96之1號</t>
  </si>
  <si>
    <t>508彰化縣和美鎮鎮平里彰草路二段697號</t>
  </si>
  <si>
    <t>432台中縣大肚鄉沙田路二段310巷2號</t>
  </si>
  <si>
    <t>103台北市大同區重慶北路三段137巷25號2樓</t>
  </si>
  <si>
    <t>103台北市民生西路292號10樓</t>
  </si>
  <si>
    <t>114台北市新明路124號</t>
  </si>
  <si>
    <t>710台南縣永康鄉中正北路711號</t>
  </si>
  <si>
    <t>337桃園縣大園鄉橫峰村1號</t>
  </si>
  <si>
    <t>504彰化縣秀水鄉埔崙村三越街82號</t>
  </si>
  <si>
    <t>106台北市大安區仁愛路三段108號7樓</t>
  </si>
  <si>
    <t>106台北市大安區復興南路一段390號5樓之3</t>
  </si>
  <si>
    <t>相片</t>
    <phoneticPr fontId="18" type="noConversion"/>
  </si>
  <si>
    <t>出生日期</t>
    <phoneticPr fontId="18" type="noConversion"/>
  </si>
  <si>
    <t>年資</t>
    <phoneticPr fontId="18" type="noConversion"/>
  </si>
  <si>
    <t>到職日期</t>
    <phoneticPr fontId="18" type="noConversion"/>
  </si>
  <si>
    <t>到職日期</t>
    <phoneticPr fontId="18" type="noConversion"/>
  </si>
  <si>
    <t>目前月薪資</t>
    <phoneticPr fontId="18" type="noConversion"/>
  </si>
  <si>
    <t>部門名稱</t>
    <phoneticPr fontId="18" type="noConversion"/>
  </si>
  <si>
    <t>部門名稱</t>
    <phoneticPr fontId="18" type="noConversion"/>
  </si>
  <si>
    <t>董事長室</t>
  </si>
  <si>
    <t>總經理室</t>
  </si>
  <si>
    <t>研發一課</t>
  </si>
  <si>
    <t>研發二課</t>
  </si>
  <si>
    <t>研發三課</t>
  </si>
  <si>
    <t>業務一課</t>
  </si>
  <si>
    <t>業務二課</t>
  </si>
  <si>
    <t>業務三課</t>
  </si>
  <si>
    <t>業務四課</t>
  </si>
  <si>
    <t>採購部</t>
  </si>
  <si>
    <t>維修部</t>
  </si>
  <si>
    <t>是否啟動「鎖定長寬比」：</t>
    <phoneticPr fontId="18" type="noConversion"/>
  </si>
  <si>
    <t>是</t>
  </si>
  <si>
    <r>
      <t>設定圖片高度(公分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</si>
  <si>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r>
      <t>設定圖片寬度(公分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</si>
  <si>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t>顏色</t>
    <phoneticPr fontId="18" type="noConversion"/>
  </si>
  <si>
    <t>XX公司-員工基本資料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</si>
</sst>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76" formatCode="_-&quot;$&quot;* #,##0_-;\-&quot;$&quot;* #,##0_-;_-&quot;$&quot;* &quot;-&quot;??_-;_-@_-"/>
  </numFmts>
  <fonts count="3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4"/>
      <color rgb="FF002060"/>
      <name val="微軟正黑體"/>
      <family val="2"/>
      <charset val="136"/>
    </font>
    <font>
      <b/>
      <i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i/>
      <u/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1" fontId="0" fillId="0" borderId="0" xfId="0" applyNumberFormat="1">
      <alignment vertical="center"/>
    </xf>
    <xf numFmtId="1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22" fillId="34" borderId="10" xfId="0" applyFont="1" applyFill="1" applyBorder="1" applyAlignment="1">
      <alignment horizontal="center" vertical="center" wrapText="1"/>
    </xf>
    <xf numFmtId="0" fontId="22" fillId="34" borderId="13" xfId="0" applyFont="1" applyFill="1" applyBorder="1" applyAlignment="1">
      <alignment horizontal="center" vertical="center" wrapText="1"/>
    </xf>
    <xf numFmtId="0" fontId="22" fillId="34" borderId="16" xfId="0" applyFont="1" applyFill="1" applyBorder="1" applyAlignment="1">
      <alignment horizontal="center" vertical="center" wrapText="1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4" xfId="0" applyFont="1" applyFill="1" applyBorder="1" applyAlignment="1">
      <alignment horizontal="center" vertical="center" wrapText="1"/>
    </xf>
    <xf numFmtId="0" fontId="22" fillId="34" borderId="17" xfId="0" applyFont="1" applyFill="1" applyBorder="1" applyAlignment="1">
      <alignment horizontal="center" vertical="center" wrapText="1"/>
    </xf>
    <xf numFmtId="0" fontId="22" fillId="34" borderId="12" xfId="0" applyFont="1" applyFill="1" applyBorder="1" applyAlignment="1">
      <alignment horizontal="center" vertical="center" wrapText="1"/>
    </xf>
    <xf numFmtId="14" fontId="19" fillId="0" borderId="0" xfId="0" applyNumberFormat="1" applyFont="1">
      <alignment vertical="center"/>
    </xf>
    <xf numFmtId="1" fontId="24" fillId="33" borderId="0" xfId="0" applyNumberFormat="1" applyFont="1" applyFill="1">
      <alignment vertical="center"/>
    </xf>
    <xf numFmtId="0" fontId="23" fillId="0" borderId="17" xfId="0" applyFont="1" applyBorder="1" applyAlignment="1">
      <alignment horizontal="center" vertical="center"/>
    </xf>
    <xf numFmtId="1" fontId="25" fillId="0" borderId="11" xfId="0" applyNumberFormat="1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14" fontId="26" fillId="0" borderId="14" xfId="0" applyNumberFormat="1" applyFont="1" applyBorder="1" applyAlignment="1">
      <alignment horizontal="center" vertical="center"/>
    </xf>
    <xf numFmtId="176" fontId="19" fillId="0" borderId="17" xfId="42" applyNumberFormat="1" applyFont="1" applyBorder="1" applyAlignment="1">
      <alignment horizontal="center" vertical="center"/>
    </xf>
    <xf numFmtId="1" fontId="27" fillId="35" borderId="11" xfId="0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right" vertical="center"/>
    </xf>
    <xf numFmtId="1" fontId="24" fillId="33" borderId="0" xfId="0" applyNumberFormat="1" applyFont="1" applyFill="1" applyAlignment="1">
      <alignment horizontal="center" vertical="center"/>
    </xf>
    <xf numFmtId="0" fontId="24" fillId="33" borderId="0" xfId="0" applyFont="1" applyFill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8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貨幣" xfId="42" builtinId="4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numFmt numFmtId="1" formatCode="0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格1" displayName="表格1" ref="A1:K51" totalsRowShown="0" headerRowDxfId="12" dataDxfId="11">
  <autoFilter ref="A1:K51"/>
  <tableColumns count="11">
    <tableColumn id="1" name="員工編號" dataDxfId="10"/>
    <tableColumn id="2" name="姓名" dataDxfId="9"/>
    <tableColumn id="3" name="部門名稱" dataDxfId="8"/>
    <tableColumn id="4" name="出生日期" dataDxfId="7"/>
    <tableColumn id="5" name="現任職稱" dataDxfId="6"/>
    <tableColumn id="6" name="電話" dataDxfId="5"/>
    <tableColumn id="7" name="到職日期" dataDxfId="4"/>
    <tableColumn id="8" name="年資" dataDxfId="3"/>
    <tableColumn id="9" name="目前月薪資" dataDxfId="2"/>
    <tableColumn id="10" name="地址" dataDxfId="1"/>
    <tableColumn id="11" name="年假天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FF0000"/>
  </sheetPr>
  <dimension ref="D1:I51"/>
  <sheetViews>
    <sheetView workbookViewId="0">
      <selection activeCell="H8" sqref="H8"/>
    </sheetView>
  </sheetViews>
  <sheetFormatPr defaultRowHeight="16.5" x14ac:dyDescent="0.25"/>
  <cols>
    <col min="4" max="4" width="12.75" style="1" customWidth="1"/>
    <col min="8" max="8" width="30" bestFit="1" customWidth="1"/>
    <col min="9" max="9" width="12.875" customWidth="1"/>
  </cols>
  <sheetData>
    <row r="1" spans="4:9" x14ac:dyDescent="0.25">
      <c r="D1" s="12" t="s">
        <v>243</v>
      </c>
      <c r="E1" s="12" t="s">
        <v>260</v>
      </c>
      <c r="H1" s="23" t="s">
        <v>256</v>
      </c>
      <c r="I1" s="24" t="s">
        <v>257</v>
      </c>
    </row>
    <row r="2" spans="4:9" x14ac:dyDescent="0.25">
      <c r="D2" s="2" t="s">
        <v>245</v>
      </c>
      <c r="E2" s="26"/>
      <c r="H2" s="23" t="s">
        <v>258</v>
      </c>
      <c r="I2" s="25">
        <v>5</v>
      </c>
    </row>
    <row r="3" spans="4:9" x14ac:dyDescent="0.25">
      <c r="D3" s="2" t="s">
        <v>246</v>
      </c>
      <c r="E3" s="27"/>
      <c r="H3" s="23" t="s">
        <v>259</v>
      </c>
      <c r="I3" s="25">
        <v>3</v>
      </c>
    </row>
    <row r="4" spans="4:9" x14ac:dyDescent="0.25">
      <c r="D4" s="2" t="s">
        <v>247</v>
      </c>
      <c r="E4" s="28"/>
    </row>
    <row r="5" spans="4:9" x14ac:dyDescent="0.25">
      <c r="D5" s="2" t="s">
        <v>248</v>
      </c>
      <c r="E5" s="28"/>
    </row>
    <row r="6" spans="4:9" x14ac:dyDescent="0.25">
      <c r="D6" s="2" t="s">
        <v>249</v>
      </c>
      <c r="E6" s="28"/>
    </row>
    <row r="7" spans="4:9" x14ac:dyDescent="0.25">
      <c r="D7" s="2" t="s">
        <v>250</v>
      </c>
      <c r="E7" s="29"/>
    </row>
    <row r="8" spans="4:9" x14ac:dyDescent="0.25">
      <c r="D8" s="2" t="s">
        <v>251</v>
      </c>
      <c r="E8" s="29"/>
    </row>
    <row r="9" spans="4:9" x14ac:dyDescent="0.25">
      <c r="D9" s="2" t="s">
        <v>252</v>
      </c>
      <c r="E9" s="29"/>
    </row>
    <row r="10" spans="4:9" x14ac:dyDescent="0.25">
      <c r="D10" s="2" t="s">
        <v>253</v>
      </c>
      <c r="E10" s="29"/>
    </row>
    <row r="11" spans="4:9" x14ac:dyDescent="0.25">
      <c r="D11" s="2" t="s">
        <v>254</v>
      </c>
      <c r="E11" s="31"/>
    </row>
    <row r="12" spans="4:9" x14ac:dyDescent="0.25">
      <c r="D12" s="2" t="s">
        <v>255</v>
      </c>
      <c r="E12" s="30"/>
    </row>
    <row r="13" spans="4:9" x14ac:dyDescent="0.25">
      <c r="D13"/>
    </row>
    <row r="14" spans="4:9" x14ac:dyDescent="0.25">
      <c r="D14"/>
    </row>
    <row r="15" spans="4:9" x14ac:dyDescent="0.25">
      <c r="D15"/>
    </row>
    <row r="16" spans="4:9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</sheetData>
  <phoneticPr fontId="18" type="noConversion"/>
  <dataValidations disablePrompts="1" count="1">
    <dataValidation type="list" allowBlank="1" showInputMessage="1" showErrorMessage="1" sqref="I1">
      <formula1>"是,否"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1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25"/>
  <cols>
    <col min="1" max="1" width="11.75" style="1" customWidth="1"/>
    <col min="2" max="2" width="7.75" style="1" bestFit="1" customWidth="1"/>
    <col min="3" max="3" width="12.75" style="1" customWidth="1"/>
    <col min="4" max="4" width="14.375" style="1" bestFit="1" customWidth="1"/>
    <col min="5" max="5" width="11.875" style="1" bestFit="1" customWidth="1"/>
    <col min="6" max="6" width="21.5" style="1" customWidth="1"/>
    <col min="7" max="7" width="14.375" style="1" bestFit="1" customWidth="1"/>
    <col min="8" max="8" width="7.375" style="1" customWidth="1"/>
    <col min="9" max="9" width="15" style="1" customWidth="1"/>
    <col min="10" max="10" width="35.875" style="1" bestFit="1" customWidth="1"/>
    <col min="11" max="11" width="11.75" style="1" customWidth="1"/>
  </cols>
  <sheetData>
    <row r="1" spans="1:11" x14ac:dyDescent="0.25">
      <c r="A1" s="12" t="s">
        <v>129</v>
      </c>
      <c r="B1" s="12" t="s">
        <v>0</v>
      </c>
      <c r="C1" s="12" t="s">
        <v>243</v>
      </c>
      <c r="D1" s="12" t="s">
        <v>238</v>
      </c>
      <c r="E1" s="12" t="s">
        <v>1</v>
      </c>
      <c r="F1" s="22" t="s">
        <v>3</v>
      </c>
      <c r="G1" s="12" t="s">
        <v>240</v>
      </c>
      <c r="H1" s="12" t="s">
        <v>239</v>
      </c>
      <c r="I1" s="12" t="s">
        <v>4</v>
      </c>
      <c r="J1" s="12" t="s">
        <v>2</v>
      </c>
      <c r="K1" s="12" t="s">
        <v>5</v>
      </c>
    </row>
    <row r="2" spans="1:11" x14ac:dyDescent="0.25">
      <c r="A2" s="2" t="s">
        <v>130</v>
      </c>
      <c r="B2" s="2" t="s">
        <v>6</v>
      </c>
      <c r="C2" s="2" t="s">
        <v>245</v>
      </c>
      <c r="D2" s="11">
        <v>33482</v>
      </c>
      <c r="E2" s="2" t="s">
        <v>7</v>
      </c>
      <c r="F2" s="21" t="s">
        <v>8</v>
      </c>
      <c r="G2" s="11">
        <v>37135</v>
      </c>
      <c r="H2" s="2">
        <v>12</v>
      </c>
      <c r="I2" s="2">
        <v>190550</v>
      </c>
      <c r="J2" s="2" t="s">
        <v>187</v>
      </c>
      <c r="K2" s="2">
        <v>7</v>
      </c>
    </row>
    <row r="3" spans="1:11" x14ac:dyDescent="0.25">
      <c r="A3" s="2" t="s">
        <v>131</v>
      </c>
      <c r="B3" s="2" t="s">
        <v>9</v>
      </c>
      <c r="C3" s="2" t="s">
        <v>246</v>
      </c>
      <c r="D3" s="11">
        <v>31857</v>
      </c>
      <c r="E3" s="2" t="s">
        <v>10</v>
      </c>
      <c r="F3" s="21" t="s">
        <v>11</v>
      </c>
      <c r="G3" s="11">
        <v>35510</v>
      </c>
      <c r="H3" s="2">
        <v>17</v>
      </c>
      <c r="I3" s="2">
        <v>158620</v>
      </c>
      <c r="J3" s="2" t="s">
        <v>188</v>
      </c>
      <c r="K3" s="2">
        <v>14</v>
      </c>
    </row>
    <row r="4" spans="1:11" x14ac:dyDescent="0.25">
      <c r="A4" s="2" t="s">
        <v>132</v>
      </c>
      <c r="B4" s="2" t="s">
        <v>12</v>
      </c>
      <c r="C4" s="2" t="s">
        <v>246</v>
      </c>
      <c r="D4" s="11">
        <v>34823</v>
      </c>
      <c r="E4" s="2" t="s">
        <v>13</v>
      </c>
      <c r="F4" s="21" t="s">
        <v>14</v>
      </c>
      <c r="G4" s="11">
        <v>38476</v>
      </c>
      <c r="H4" s="2">
        <v>8</v>
      </c>
      <c r="I4" s="2">
        <v>84460</v>
      </c>
      <c r="J4" s="2" t="s">
        <v>189</v>
      </c>
      <c r="K4" s="2">
        <v>14</v>
      </c>
    </row>
    <row r="5" spans="1:11" x14ac:dyDescent="0.25">
      <c r="A5" s="2" t="s">
        <v>133</v>
      </c>
      <c r="B5" s="2" t="s">
        <v>15</v>
      </c>
      <c r="C5" s="2" t="s">
        <v>246</v>
      </c>
      <c r="D5" s="11">
        <v>33240</v>
      </c>
      <c r="E5" s="2" t="s">
        <v>16</v>
      </c>
      <c r="F5" s="21" t="s">
        <v>17</v>
      </c>
      <c r="G5" s="11">
        <v>36893</v>
      </c>
      <c r="H5" s="2">
        <v>13</v>
      </c>
      <c r="I5" s="2">
        <v>142140</v>
      </c>
      <c r="J5" s="2" t="s">
        <v>190</v>
      </c>
      <c r="K5" s="2">
        <v>14</v>
      </c>
    </row>
    <row r="6" spans="1:11" x14ac:dyDescent="0.25">
      <c r="A6" s="2" t="s">
        <v>134</v>
      </c>
      <c r="B6" s="2" t="s">
        <v>18</v>
      </c>
      <c r="C6" s="2" t="s">
        <v>246</v>
      </c>
      <c r="D6" s="11">
        <v>34777</v>
      </c>
      <c r="E6" s="2" t="s">
        <v>19</v>
      </c>
      <c r="F6" s="21" t="s">
        <v>20</v>
      </c>
      <c r="G6" s="11">
        <v>38430</v>
      </c>
      <c r="H6" s="2">
        <v>9</v>
      </c>
      <c r="I6" s="2">
        <v>37080</v>
      </c>
      <c r="J6" s="2" t="s">
        <v>191</v>
      </c>
      <c r="K6" s="2">
        <v>7</v>
      </c>
    </row>
    <row r="7" spans="1:11" x14ac:dyDescent="0.25">
      <c r="A7" s="2" t="s">
        <v>135</v>
      </c>
      <c r="B7" s="2" t="s">
        <v>21</v>
      </c>
      <c r="C7" s="2" t="s">
        <v>247</v>
      </c>
      <c r="D7" s="11">
        <v>36522</v>
      </c>
      <c r="E7" s="2" t="s">
        <v>22</v>
      </c>
      <c r="F7" s="21" t="s">
        <v>23</v>
      </c>
      <c r="G7" s="11">
        <v>40175</v>
      </c>
      <c r="H7" s="2">
        <v>4</v>
      </c>
      <c r="I7" s="2">
        <v>39140</v>
      </c>
      <c r="J7" s="2" t="s">
        <v>192</v>
      </c>
      <c r="K7" s="2">
        <v>7</v>
      </c>
    </row>
    <row r="8" spans="1:11" x14ac:dyDescent="0.25">
      <c r="A8" s="2" t="s">
        <v>136</v>
      </c>
      <c r="B8" s="2" t="s">
        <v>24</v>
      </c>
      <c r="C8" s="2" t="s">
        <v>247</v>
      </c>
      <c r="D8" s="11">
        <v>34523</v>
      </c>
      <c r="E8" s="2" t="s">
        <v>25</v>
      </c>
      <c r="F8" s="21" t="s">
        <v>26</v>
      </c>
      <c r="G8" s="11">
        <v>38176</v>
      </c>
      <c r="H8" s="2">
        <v>9</v>
      </c>
      <c r="I8" s="2">
        <v>68186</v>
      </c>
      <c r="J8" s="2" t="s">
        <v>193</v>
      </c>
      <c r="K8" s="2">
        <v>14</v>
      </c>
    </row>
    <row r="9" spans="1:11" x14ac:dyDescent="0.25">
      <c r="A9" s="2" t="s">
        <v>137</v>
      </c>
      <c r="B9" s="2" t="s">
        <v>27</v>
      </c>
      <c r="C9" s="2" t="s">
        <v>247</v>
      </c>
      <c r="D9" s="11">
        <v>34091</v>
      </c>
      <c r="E9" s="2" t="s">
        <v>28</v>
      </c>
      <c r="F9" s="21" t="s">
        <v>29</v>
      </c>
      <c r="G9" s="11">
        <v>37743</v>
      </c>
      <c r="H9" s="2">
        <v>10</v>
      </c>
      <c r="I9" s="2">
        <v>69422</v>
      </c>
      <c r="J9" s="2" t="s">
        <v>194</v>
      </c>
      <c r="K9" s="2">
        <v>14</v>
      </c>
    </row>
    <row r="10" spans="1:11" x14ac:dyDescent="0.25">
      <c r="A10" s="2" t="s">
        <v>138</v>
      </c>
      <c r="B10" s="2" t="s">
        <v>30</v>
      </c>
      <c r="C10" s="2" t="s">
        <v>247</v>
      </c>
      <c r="D10" s="11">
        <v>33246</v>
      </c>
      <c r="E10" s="2" t="s">
        <v>31</v>
      </c>
      <c r="F10" s="21" t="s">
        <v>32</v>
      </c>
      <c r="G10" s="11">
        <v>36899</v>
      </c>
      <c r="H10" s="2">
        <v>13</v>
      </c>
      <c r="I10" s="2">
        <v>37080</v>
      </c>
      <c r="J10" s="2" t="s">
        <v>195</v>
      </c>
      <c r="K10" s="2">
        <v>14</v>
      </c>
    </row>
    <row r="11" spans="1:11" x14ac:dyDescent="0.25">
      <c r="A11" s="2" t="s">
        <v>139</v>
      </c>
      <c r="B11" s="2" t="s">
        <v>33</v>
      </c>
      <c r="C11" s="2" t="s">
        <v>247</v>
      </c>
      <c r="D11" s="11">
        <v>33361</v>
      </c>
      <c r="E11" s="2" t="s">
        <v>34</v>
      </c>
      <c r="F11" s="21" t="s">
        <v>35</v>
      </c>
      <c r="G11" s="11">
        <v>37014</v>
      </c>
      <c r="H11" s="2">
        <v>12</v>
      </c>
      <c r="I11" s="2">
        <v>38110</v>
      </c>
      <c r="J11" s="2" t="s">
        <v>196</v>
      </c>
      <c r="K11" s="2">
        <v>7</v>
      </c>
    </row>
    <row r="12" spans="1:11" x14ac:dyDescent="0.25">
      <c r="A12" s="2" t="s">
        <v>140</v>
      </c>
      <c r="B12" s="2" t="s">
        <v>36</v>
      </c>
      <c r="C12" s="2" t="s">
        <v>248</v>
      </c>
      <c r="D12" s="11">
        <v>33896</v>
      </c>
      <c r="E12" s="2" t="s">
        <v>34</v>
      </c>
      <c r="F12" s="21" t="s">
        <v>37</v>
      </c>
      <c r="G12" s="11">
        <v>37548</v>
      </c>
      <c r="H12" s="2">
        <v>11</v>
      </c>
      <c r="I12" s="2">
        <v>33990</v>
      </c>
      <c r="J12" s="2" t="s">
        <v>197</v>
      </c>
      <c r="K12" s="2">
        <v>14</v>
      </c>
    </row>
    <row r="13" spans="1:11" x14ac:dyDescent="0.25">
      <c r="A13" s="2" t="s">
        <v>141</v>
      </c>
      <c r="B13" s="2" t="s">
        <v>38</v>
      </c>
      <c r="C13" s="2" t="s">
        <v>248</v>
      </c>
      <c r="D13" s="11">
        <v>33781</v>
      </c>
      <c r="E13" s="2" t="s">
        <v>39</v>
      </c>
      <c r="F13" s="21" t="s">
        <v>40</v>
      </c>
      <c r="G13" s="11">
        <v>37433</v>
      </c>
      <c r="H13" s="2">
        <v>11</v>
      </c>
      <c r="I13" s="2">
        <v>32445</v>
      </c>
      <c r="J13" s="2" t="s">
        <v>198</v>
      </c>
      <c r="K13" s="2">
        <v>14</v>
      </c>
    </row>
    <row r="14" spans="1:11" x14ac:dyDescent="0.25">
      <c r="A14" s="2" t="s">
        <v>142</v>
      </c>
      <c r="B14" s="2" t="s">
        <v>41</v>
      </c>
      <c r="C14" s="2" t="s">
        <v>248</v>
      </c>
      <c r="D14" s="11">
        <v>34639</v>
      </c>
      <c r="E14" s="2" t="s">
        <v>25</v>
      </c>
      <c r="F14" s="21" t="s">
        <v>42</v>
      </c>
      <c r="G14" s="11">
        <v>38292</v>
      </c>
      <c r="H14" s="2">
        <v>9</v>
      </c>
      <c r="I14" s="2">
        <v>35535</v>
      </c>
      <c r="J14" s="2" t="s">
        <v>199</v>
      </c>
      <c r="K14" s="2">
        <v>7</v>
      </c>
    </row>
    <row r="15" spans="1:11" x14ac:dyDescent="0.25">
      <c r="A15" s="2" t="s">
        <v>143</v>
      </c>
      <c r="B15" s="2" t="s">
        <v>43</v>
      </c>
      <c r="C15" s="2" t="s">
        <v>248</v>
      </c>
      <c r="D15" s="11">
        <v>33171</v>
      </c>
      <c r="E15" s="2" t="s">
        <v>28</v>
      </c>
      <c r="F15" s="21" t="s">
        <v>44</v>
      </c>
      <c r="G15" s="11">
        <v>36824</v>
      </c>
      <c r="H15" s="2">
        <v>13</v>
      </c>
      <c r="I15" s="2">
        <v>33990</v>
      </c>
      <c r="J15" s="2" t="s">
        <v>200</v>
      </c>
      <c r="K15" s="2">
        <v>14</v>
      </c>
    </row>
    <row r="16" spans="1:11" x14ac:dyDescent="0.25">
      <c r="A16" s="2" t="s">
        <v>144</v>
      </c>
      <c r="B16" s="2" t="s">
        <v>45</v>
      </c>
      <c r="C16" s="2" t="s">
        <v>248</v>
      </c>
      <c r="D16" s="11">
        <v>33837</v>
      </c>
      <c r="E16" s="2" t="s">
        <v>34</v>
      </c>
      <c r="F16" s="21" t="s">
        <v>46</v>
      </c>
      <c r="G16" s="11">
        <v>37489</v>
      </c>
      <c r="H16" s="2">
        <v>11</v>
      </c>
      <c r="I16" s="2">
        <v>62830</v>
      </c>
      <c r="J16" s="2" t="s">
        <v>201</v>
      </c>
      <c r="K16" s="2">
        <v>14</v>
      </c>
    </row>
    <row r="17" spans="1:11" x14ac:dyDescent="0.25">
      <c r="A17" s="2" t="s">
        <v>145</v>
      </c>
      <c r="B17" s="2" t="s">
        <v>47</v>
      </c>
      <c r="C17" s="2" t="s">
        <v>249</v>
      </c>
      <c r="D17" s="11">
        <v>33212</v>
      </c>
      <c r="E17" s="2" t="s">
        <v>34</v>
      </c>
      <c r="F17" s="21" t="s">
        <v>48</v>
      </c>
      <c r="G17" s="11">
        <v>36865</v>
      </c>
      <c r="H17" s="2">
        <v>13</v>
      </c>
      <c r="I17" s="2">
        <v>30385</v>
      </c>
      <c r="J17" s="2" t="s">
        <v>202</v>
      </c>
      <c r="K17" s="2">
        <v>7</v>
      </c>
    </row>
    <row r="18" spans="1:11" x14ac:dyDescent="0.25">
      <c r="A18" s="2" t="s">
        <v>146</v>
      </c>
      <c r="B18" s="2" t="s">
        <v>49</v>
      </c>
      <c r="C18" s="2" t="s">
        <v>249</v>
      </c>
      <c r="D18" s="11">
        <v>33341</v>
      </c>
      <c r="E18" s="2" t="s">
        <v>39</v>
      </c>
      <c r="F18" s="21" t="s">
        <v>50</v>
      </c>
      <c r="G18" s="11">
        <v>36994</v>
      </c>
      <c r="H18" s="2">
        <v>13</v>
      </c>
      <c r="I18" s="2">
        <v>32960</v>
      </c>
      <c r="J18" s="2" t="s">
        <v>203</v>
      </c>
      <c r="K18" s="2">
        <v>14</v>
      </c>
    </row>
    <row r="19" spans="1:11" x14ac:dyDescent="0.25">
      <c r="A19" s="2" t="s">
        <v>147</v>
      </c>
      <c r="B19" s="2" t="s">
        <v>51</v>
      </c>
      <c r="C19" s="2" t="s">
        <v>249</v>
      </c>
      <c r="D19" s="11">
        <v>34527</v>
      </c>
      <c r="E19" s="2" t="s">
        <v>25</v>
      </c>
      <c r="F19" s="21" t="s">
        <v>52</v>
      </c>
      <c r="G19" s="11">
        <v>38180</v>
      </c>
      <c r="H19" s="2">
        <v>9</v>
      </c>
      <c r="I19" s="2">
        <v>28016</v>
      </c>
      <c r="J19" s="2" t="s">
        <v>204</v>
      </c>
      <c r="K19" s="2">
        <v>14</v>
      </c>
    </row>
    <row r="20" spans="1:11" x14ac:dyDescent="0.25">
      <c r="A20" s="2" t="s">
        <v>148</v>
      </c>
      <c r="B20" s="2" t="s">
        <v>53</v>
      </c>
      <c r="C20" s="2" t="s">
        <v>249</v>
      </c>
      <c r="D20" s="11">
        <v>33469</v>
      </c>
      <c r="E20" s="2" t="s">
        <v>28</v>
      </c>
      <c r="F20" s="21" t="s">
        <v>54</v>
      </c>
      <c r="G20" s="11">
        <v>37122</v>
      </c>
      <c r="H20" s="2">
        <v>12</v>
      </c>
      <c r="I20" s="2">
        <v>39346</v>
      </c>
      <c r="J20" s="2" t="s">
        <v>205</v>
      </c>
      <c r="K20" s="2">
        <v>14</v>
      </c>
    </row>
    <row r="21" spans="1:11" x14ac:dyDescent="0.25">
      <c r="A21" s="2" t="s">
        <v>149</v>
      </c>
      <c r="B21" s="2" t="s">
        <v>55</v>
      </c>
      <c r="C21" s="2" t="s">
        <v>249</v>
      </c>
      <c r="D21" s="11">
        <v>36069</v>
      </c>
      <c r="E21" s="2" t="s">
        <v>22</v>
      </c>
      <c r="F21" s="21" t="s">
        <v>56</v>
      </c>
      <c r="G21" s="11">
        <v>39722</v>
      </c>
      <c r="H21" s="2">
        <v>5</v>
      </c>
      <c r="I21" s="2">
        <v>77456</v>
      </c>
      <c r="J21" s="2" t="s">
        <v>206</v>
      </c>
      <c r="K21" s="2">
        <v>14</v>
      </c>
    </row>
    <row r="22" spans="1:11" x14ac:dyDescent="0.25">
      <c r="A22" s="2" t="s">
        <v>150</v>
      </c>
      <c r="B22" s="2" t="s">
        <v>57</v>
      </c>
      <c r="C22" s="2" t="s">
        <v>249</v>
      </c>
      <c r="D22" s="11">
        <v>33375</v>
      </c>
      <c r="E22" s="2" t="s">
        <v>34</v>
      </c>
      <c r="F22" s="21" t="s">
        <v>58</v>
      </c>
      <c r="G22" s="11">
        <v>37028</v>
      </c>
      <c r="H22" s="2">
        <v>12</v>
      </c>
      <c r="I22" s="2">
        <v>37595</v>
      </c>
      <c r="J22" s="2" t="s">
        <v>207</v>
      </c>
      <c r="K22" s="2">
        <v>7</v>
      </c>
    </row>
    <row r="23" spans="1:11" x14ac:dyDescent="0.25">
      <c r="A23" s="2" t="s">
        <v>151</v>
      </c>
      <c r="B23" s="2" t="s">
        <v>59</v>
      </c>
      <c r="C23" s="2" t="s">
        <v>250</v>
      </c>
      <c r="D23" s="11">
        <v>33671</v>
      </c>
      <c r="E23" s="2" t="s">
        <v>60</v>
      </c>
      <c r="F23" s="21" t="s">
        <v>61</v>
      </c>
      <c r="G23" s="11">
        <v>37323</v>
      </c>
      <c r="H23" s="2">
        <v>12</v>
      </c>
      <c r="I23" s="2">
        <v>35844</v>
      </c>
      <c r="J23" s="2" t="s">
        <v>208</v>
      </c>
      <c r="K23" s="2">
        <v>14</v>
      </c>
    </row>
    <row r="24" spans="1:11" x14ac:dyDescent="0.25">
      <c r="A24" s="2" t="s">
        <v>152</v>
      </c>
      <c r="B24" s="2" t="s">
        <v>62</v>
      </c>
      <c r="C24" s="2" t="s">
        <v>250</v>
      </c>
      <c r="D24" s="11">
        <v>32340</v>
      </c>
      <c r="E24" s="2" t="s">
        <v>63</v>
      </c>
      <c r="F24" s="21" t="s">
        <v>64</v>
      </c>
      <c r="G24" s="11">
        <v>35992</v>
      </c>
      <c r="H24" s="2">
        <v>15</v>
      </c>
      <c r="I24" s="2">
        <v>60770</v>
      </c>
      <c r="J24" s="2" t="s">
        <v>209</v>
      </c>
      <c r="K24" s="2">
        <v>14</v>
      </c>
    </row>
    <row r="25" spans="1:11" x14ac:dyDescent="0.25">
      <c r="A25" s="2" t="s">
        <v>153</v>
      </c>
      <c r="B25" s="2" t="s">
        <v>65</v>
      </c>
      <c r="C25" s="2" t="s">
        <v>250</v>
      </c>
      <c r="D25" s="11">
        <v>33943</v>
      </c>
      <c r="E25" s="2" t="s">
        <v>66</v>
      </c>
      <c r="F25" s="21" t="s">
        <v>67</v>
      </c>
      <c r="G25" s="11">
        <v>37595</v>
      </c>
      <c r="H25" s="2">
        <v>11</v>
      </c>
      <c r="I25" s="2">
        <v>25544</v>
      </c>
      <c r="J25" s="2" t="s">
        <v>210</v>
      </c>
      <c r="K25" s="2">
        <v>7</v>
      </c>
    </row>
    <row r="26" spans="1:11" x14ac:dyDescent="0.25">
      <c r="A26" s="2" t="s">
        <v>154</v>
      </c>
      <c r="B26" s="2" t="s">
        <v>68</v>
      </c>
      <c r="C26" s="2" t="s">
        <v>250</v>
      </c>
      <c r="D26" s="11">
        <v>33855</v>
      </c>
      <c r="E26" s="2" t="s">
        <v>69</v>
      </c>
      <c r="F26" s="21" t="s">
        <v>70</v>
      </c>
      <c r="G26" s="11">
        <v>37507</v>
      </c>
      <c r="H26" s="2">
        <v>11</v>
      </c>
      <c r="I26" s="2">
        <v>30385</v>
      </c>
      <c r="J26" s="2" t="s">
        <v>211</v>
      </c>
      <c r="K26" s="2">
        <v>7</v>
      </c>
    </row>
    <row r="27" spans="1:11" x14ac:dyDescent="0.25">
      <c r="A27" s="2" t="s">
        <v>155</v>
      </c>
      <c r="B27" s="2" t="s">
        <v>71</v>
      </c>
      <c r="C27" s="2" t="s">
        <v>250</v>
      </c>
      <c r="D27" s="11">
        <v>31887</v>
      </c>
      <c r="E27" s="2" t="s">
        <v>72</v>
      </c>
      <c r="F27" s="21" t="s">
        <v>73</v>
      </c>
      <c r="G27" s="11">
        <v>35540</v>
      </c>
      <c r="H27" s="2">
        <v>17</v>
      </c>
      <c r="I27" s="2">
        <v>35844</v>
      </c>
      <c r="J27" s="2" t="s">
        <v>212</v>
      </c>
      <c r="K27" s="2">
        <v>7</v>
      </c>
    </row>
    <row r="28" spans="1:11" x14ac:dyDescent="0.25">
      <c r="A28" s="2" t="s">
        <v>156</v>
      </c>
      <c r="B28" s="2" t="s">
        <v>74</v>
      </c>
      <c r="C28" s="2" t="s">
        <v>251</v>
      </c>
      <c r="D28" s="11">
        <v>35515</v>
      </c>
      <c r="E28" s="2" t="s">
        <v>60</v>
      </c>
      <c r="F28" s="21" t="s">
        <v>75</v>
      </c>
      <c r="G28" s="11">
        <v>39167</v>
      </c>
      <c r="H28" s="2">
        <v>7</v>
      </c>
      <c r="I28" s="2">
        <v>40376</v>
      </c>
      <c r="J28" s="2" t="s">
        <v>213</v>
      </c>
      <c r="K28" s="2">
        <v>7</v>
      </c>
    </row>
    <row r="29" spans="1:11" x14ac:dyDescent="0.25">
      <c r="A29" s="2" t="s">
        <v>157</v>
      </c>
      <c r="B29" s="2" t="s">
        <v>76</v>
      </c>
      <c r="C29" s="2" t="s">
        <v>251</v>
      </c>
      <c r="D29" s="11">
        <v>35555</v>
      </c>
      <c r="E29" s="2" t="s">
        <v>63</v>
      </c>
      <c r="F29" s="21" t="s">
        <v>77</v>
      </c>
      <c r="G29" s="11">
        <v>39207</v>
      </c>
      <c r="H29" s="2">
        <v>6</v>
      </c>
      <c r="I29" s="2">
        <v>24102</v>
      </c>
      <c r="J29" s="2" t="s">
        <v>214</v>
      </c>
      <c r="K29" s="2">
        <v>7</v>
      </c>
    </row>
    <row r="30" spans="1:11" x14ac:dyDescent="0.25">
      <c r="A30" s="2" t="s">
        <v>158</v>
      </c>
      <c r="B30" s="2" t="s">
        <v>78</v>
      </c>
      <c r="C30" s="2" t="s">
        <v>251</v>
      </c>
      <c r="D30" s="11">
        <v>33337</v>
      </c>
      <c r="E30" s="2" t="s">
        <v>66</v>
      </c>
      <c r="F30" s="21" t="s">
        <v>79</v>
      </c>
      <c r="G30" s="11">
        <v>36990</v>
      </c>
      <c r="H30" s="2">
        <v>13</v>
      </c>
      <c r="I30" s="2">
        <v>28634</v>
      </c>
      <c r="J30" s="2" t="s">
        <v>215</v>
      </c>
      <c r="K30" s="2">
        <v>7</v>
      </c>
    </row>
    <row r="31" spans="1:11" x14ac:dyDescent="0.25">
      <c r="A31" s="2" t="s">
        <v>159</v>
      </c>
      <c r="B31" s="2" t="s">
        <v>80</v>
      </c>
      <c r="C31" s="2" t="s">
        <v>251</v>
      </c>
      <c r="D31" s="11">
        <v>34754</v>
      </c>
      <c r="E31" s="2" t="s">
        <v>69</v>
      </c>
      <c r="F31" s="21" t="s">
        <v>81</v>
      </c>
      <c r="G31" s="11">
        <v>38407</v>
      </c>
      <c r="H31" s="2">
        <v>9</v>
      </c>
      <c r="I31" s="2">
        <v>55826</v>
      </c>
      <c r="J31" s="2" t="s">
        <v>216</v>
      </c>
      <c r="K31" s="2">
        <v>14</v>
      </c>
    </row>
    <row r="32" spans="1:11" x14ac:dyDescent="0.25">
      <c r="A32" s="2" t="s">
        <v>160</v>
      </c>
      <c r="B32" s="2" t="s">
        <v>82</v>
      </c>
      <c r="C32" s="2" t="s">
        <v>251</v>
      </c>
      <c r="D32" s="11">
        <v>32932</v>
      </c>
      <c r="E32" s="2" t="s">
        <v>72</v>
      </c>
      <c r="F32" s="21" t="s">
        <v>83</v>
      </c>
      <c r="G32" s="11">
        <v>36584</v>
      </c>
      <c r="H32" s="2">
        <v>14</v>
      </c>
      <c r="I32" s="2">
        <v>38110</v>
      </c>
      <c r="J32" s="2" t="s">
        <v>217</v>
      </c>
      <c r="K32" s="2">
        <v>7</v>
      </c>
    </row>
    <row r="33" spans="1:11" x14ac:dyDescent="0.25">
      <c r="A33" s="2" t="s">
        <v>161</v>
      </c>
      <c r="B33" s="2" t="s">
        <v>84</v>
      </c>
      <c r="C33" s="2" t="s">
        <v>252</v>
      </c>
      <c r="D33" s="11">
        <v>33735</v>
      </c>
      <c r="E33" s="2" t="s">
        <v>60</v>
      </c>
      <c r="F33" s="21" t="s">
        <v>85</v>
      </c>
      <c r="G33" s="11">
        <v>37387</v>
      </c>
      <c r="H33" s="2">
        <v>11</v>
      </c>
      <c r="I33" s="2">
        <v>32445</v>
      </c>
      <c r="J33" s="2" t="s">
        <v>218</v>
      </c>
      <c r="K33" s="2">
        <v>7</v>
      </c>
    </row>
    <row r="34" spans="1:11" x14ac:dyDescent="0.25">
      <c r="A34" s="2" t="s">
        <v>162</v>
      </c>
      <c r="B34" s="2" t="s">
        <v>86</v>
      </c>
      <c r="C34" s="2" t="s">
        <v>252</v>
      </c>
      <c r="D34" s="11">
        <v>32993</v>
      </c>
      <c r="E34" s="2" t="s">
        <v>63</v>
      </c>
      <c r="F34" s="21" t="s">
        <v>87</v>
      </c>
      <c r="G34" s="11">
        <v>36646</v>
      </c>
      <c r="H34" s="2">
        <v>13</v>
      </c>
      <c r="I34" s="2">
        <v>26265</v>
      </c>
      <c r="J34" s="2" t="s">
        <v>219</v>
      </c>
      <c r="K34" s="2">
        <v>7</v>
      </c>
    </row>
    <row r="35" spans="1:11" x14ac:dyDescent="0.25">
      <c r="A35" s="2" t="s">
        <v>163</v>
      </c>
      <c r="B35" s="2" t="s">
        <v>88</v>
      </c>
      <c r="C35" s="2" t="s">
        <v>252</v>
      </c>
      <c r="D35" s="11">
        <v>34168</v>
      </c>
      <c r="E35" s="2" t="s">
        <v>66</v>
      </c>
      <c r="F35" s="21" t="s">
        <v>89</v>
      </c>
      <c r="G35" s="11">
        <v>37820</v>
      </c>
      <c r="H35" s="2">
        <v>10</v>
      </c>
      <c r="I35" s="2">
        <v>72100</v>
      </c>
      <c r="J35" s="2" t="s">
        <v>220</v>
      </c>
      <c r="K35" s="2">
        <v>14</v>
      </c>
    </row>
    <row r="36" spans="1:11" x14ac:dyDescent="0.25">
      <c r="A36" s="2" t="s">
        <v>164</v>
      </c>
      <c r="B36" s="2" t="s">
        <v>90</v>
      </c>
      <c r="C36" s="2" t="s">
        <v>252</v>
      </c>
      <c r="D36" s="11">
        <v>35687</v>
      </c>
      <c r="E36" s="2" t="s">
        <v>69</v>
      </c>
      <c r="F36" s="21" t="s">
        <v>91</v>
      </c>
      <c r="G36" s="11">
        <v>39339</v>
      </c>
      <c r="H36" s="2">
        <v>6</v>
      </c>
      <c r="I36" s="2">
        <v>40067</v>
      </c>
      <c r="J36" s="2" t="s">
        <v>221</v>
      </c>
      <c r="K36" s="2">
        <v>14</v>
      </c>
    </row>
    <row r="37" spans="1:11" x14ac:dyDescent="0.25">
      <c r="A37" s="2" t="s">
        <v>165</v>
      </c>
      <c r="B37" s="2" t="s">
        <v>92</v>
      </c>
      <c r="C37" s="2" t="s">
        <v>252</v>
      </c>
      <c r="D37" s="11">
        <v>32558</v>
      </c>
      <c r="E37" s="2" t="s">
        <v>72</v>
      </c>
      <c r="F37" s="21" t="s">
        <v>93</v>
      </c>
      <c r="G37" s="11">
        <v>36210</v>
      </c>
      <c r="H37" s="2">
        <v>15</v>
      </c>
      <c r="I37" s="2">
        <v>25235</v>
      </c>
      <c r="J37" s="2" t="s">
        <v>222</v>
      </c>
      <c r="K37" s="2">
        <v>7</v>
      </c>
    </row>
    <row r="38" spans="1:11" x14ac:dyDescent="0.25">
      <c r="A38" s="2" t="s">
        <v>166</v>
      </c>
      <c r="B38" s="2" t="s">
        <v>94</v>
      </c>
      <c r="C38" s="2" t="s">
        <v>253</v>
      </c>
      <c r="D38" s="11">
        <v>35641</v>
      </c>
      <c r="E38" s="2" t="s">
        <v>60</v>
      </c>
      <c r="F38" s="21" t="s">
        <v>95</v>
      </c>
      <c r="G38" s="11">
        <v>39293</v>
      </c>
      <c r="H38" s="2">
        <v>6</v>
      </c>
      <c r="I38" s="2">
        <v>78280</v>
      </c>
      <c r="J38" s="2" t="s">
        <v>223</v>
      </c>
      <c r="K38" s="2">
        <v>7</v>
      </c>
    </row>
    <row r="39" spans="1:11" x14ac:dyDescent="0.25">
      <c r="A39" s="2" t="s">
        <v>167</v>
      </c>
      <c r="B39" s="2" t="s">
        <v>96</v>
      </c>
      <c r="C39" s="2" t="s">
        <v>253</v>
      </c>
      <c r="D39" s="11">
        <v>33657</v>
      </c>
      <c r="E39" s="2" t="s">
        <v>63</v>
      </c>
      <c r="F39" s="21" t="s">
        <v>97</v>
      </c>
      <c r="G39" s="11">
        <v>37310</v>
      </c>
      <c r="H39" s="2">
        <v>12</v>
      </c>
      <c r="I39" s="2">
        <v>26780</v>
      </c>
      <c r="J39" s="2" t="s">
        <v>224</v>
      </c>
      <c r="K39" s="2">
        <v>7</v>
      </c>
    </row>
    <row r="40" spans="1:11" x14ac:dyDescent="0.25">
      <c r="A40" s="2" t="s">
        <v>168</v>
      </c>
      <c r="B40" s="2" t="s">
        <v>98</v>
      </c>
      <c r="C40" s="2" t="s">
        <v>253</v>
      </c>
      <c r="D40" s="11">
        <v>34516</v>
      </c>
      <c r="E40" s="2" t="s">
        <v>63</v>
      </c>
      <c r="F40" s="21" t="s">
        <v>99</v>
      </c>
      <c r="G40" s="11">
        <v>38169</v>
      </c>
      <c r="H40" s="2">
        <v>9</v>
      </c>
      <c r="I40" s="2">
        <v>25750</v>
      </c>
      <c r="J40" s="2" t="s">
        <v>225</v>
      </c>
      <c r="K40" s="2">
        <v>7</v>
      </c>
    </row>
    <row r="41" spans="1:11" x14ac:dyDescent="0.25">
      <c r="A41" s="2" t="s">
        <v>169</v>
      </c>
      <c r="B41" s="2" t="s">
        <v>100</v>
      </c>
      <c r="C41" s="2" t="s">
        <v>253</v>
      </c>
      <c r="D41" s="11">
        <v>32792</v>
      </c>
      <c r="E41" s="2" t="s">
        <v>66</v>
      </c>
      <c r="F41" s="21" t="s">
        <v>101</v>
      </c>
      <c r="G41" s="11">
        <v>36444</v>
      </c>
      <c r="H41" s="2">
        <v>14</v>
      </c>
      <c r="I41" s="2">
        <v>23690</v>
      </c>
      <c r="J41" s="2" t="s">
        <v>226</v>
      </c>
      <c r="K41" s="2">
        <v>14</v>
      </c>
    </row>
    <row r="42" spans="1:11" x14ac:dyDescent="0.25">
      <c r="A42" s="2" t="s">
        <v>170</v>
      </c>
      <c r="B42" s="2" t="s">
        <v>102</v>
      </c>
      <c r="C42" s="2" t="s">
        <v>253</v>
      </c>
      <c r="D42" s="11">
        <v>36515</v>
      </c>
      <c r="E42" s="2" t="s">
        <v>69</v>
      </c>
      <c r="F42" s="21" t="s">
        <v>103</v>
      </c>
      <c r="G42" s="11">
        <v>40168</v>
      </c>
      <c r="H42" s="2">
        <v>4</v>
      </c>
      <c r="I42" s="2">
        <v>37080</v>
      </c>
      <c r="J42" s="2" t="s">
        <v>227</v>
      </c>
      <c r="K42" s="2">
        <v>7</v>
      </c>
    </row>
    <row r="43" spans="1:11" x14ac:dyDescent="0.25">
      <c r="A43" s="2" t="s">
        <v>171</v>
      </c>
      <c r="B43" s="2" t="s">
        <v>104</v>
      </c>
      <c r="C43" s="2" t="s">
        <v>254</v>
      </c>
      <c r="D43" s="11">
        <v>33310</v>
      </c>
      <c r="E43" s="2" t="s">
        <v>105</v>
      </c>
      <c r="F43" s="21" t="s">
        <v>106</v>
      </c>
      <c r="G43" s="11">
        <v>36963</v>
      </c>
      <c r="H43" s="2">
        <v>13</v>
      </c>
      <c r="I43" s="2">
        <v>27810</v>
      </c>
      <c r="J43" s="2" t="s">
        <v>228</v>
      </c>
      <c r="K43" s="2">
        <v>14</v>
      </c>
    </row>
    <row r="44" spans="1:11" x14ac:dyDescent="0.25">
      <c r="A44" s="2" t="s">
        <v>172</v>
      </c>
      <c r="B44" s="2" t="s">
        <v>107</v>
      </c>
      <c r="C44" s="2" t="s">
        <v>254</v>
      </c>
      <c r="D44" s="11">
        <v>33785</v>
      </c>
      <c r="E44" s="2" t="s">
        <v>108</v>
      </c>
      <c r="F44" s="21" t="s">
        <v>109</v>
      </c>
      <c r="G44" s="11">
        <v>37437</v>
      </c>
      <c r="H44" s="2">
        <v>11</v>
      </c>
      <c r="I44" s="2">
        <v>35535</v>
      </c>
      <c r="J44" s="2" t="s">
        <v>229</v>
      </c>
      <c r="K44" s="2">
        <v>14</v>
      </c>
    </row>
    <row r="45" spans="1:11" x14ac:dyDescent="0.25">
      <c r="A45" s="2" t="s">
        <v>173</v>
      </c>
      <c r="B45" s="2" t="s">
        <v>110</v>
      </c>
      <c r="C45" s="2" t="s">
        <v>254</v>
      </c>
      <c r="D45" s="11">
        <v>32260</v>
      </c>
      <c r="E45" s="2" t="s">
        <v>111</v>
      </c>
      <c r="F45" s="21" t="s">
        <v>112</v>
      </c>
      <c r="G45" s="11">
        <v>35912</v>
      </c>
      <c r="H45" s="2">
        <v>16</v>
      </c>
      <c r="I45" s="2">
        <v>63860</v>
      </c>
      <c r="J45" s="2" t="s">
        <v>230</v>
      </c>
      <c r="K45" s="2">
        <v>14</v>
      </c>
    </row>
    <row r="46" spans="1:11" x14ac:dyDescent="0.25">
      <c r="A46" s="2" t="s">
        <v>174</v>
      </c>
      <c r="B46" s="2" t="s">
        <v>113</v>
      </c>
      <c r="C46" s="2" t="s">
        <v>254</v>
      </c>
      <c r="D46" s="11">
        <v>32857</v>
      </c>
      <c r="E46" s="2" t="s">
        <v>111</v>
      </c>
      <c r="F46" s="21" t="s">
        <v>114</v>
      </c>
      <c r="G46" s="11">
        <v>36509</v>
      </c>
      <c r="H46" s="2">
        <v>14</v>
      </c>
      <c r="I46" s="2">
        <v>24102</v>
      </c>
      <c r="J46" s="2" t="s">
        <v>231</v>
      </c>
      <c r="K46" s="2">
        <v>7</v>
      </c>
    </row>
    <row r="47" spans="1:11" x14ac:dyDescent="0.25">
      <c r="A47" s="2" t="s">
        <v>175</v>
      </c>
      <c r="B47" s="2" t="s">
        <v>115</v>
      </c>
      <c r="C47" s="2" t="s">
        <v>254</v>
      </c>
      <c r="D47" s="11">
        <v>36138</v>
      </c>
      <c r="E47" s="2" t="s">
        <v>116</v>
      </c>
      <c r="F47" s="21" t="s">
        <v>117</v>
      </c>
      <c r="G47" s="11">
        <v>39791</v>
      </c>
      <c r="H47" s="2">
        <v>5</v>
      </c>
      <c r="I47" s="2">
        <v>22660</v>
      </c>
      <c r="J47" s="2" t="s">
        <v>232</v>
      </c>
      <c r="K47" s="2">
        <v>7</v>
      </c>
    </row>
    <row r="48" spans="1:11" x14ac:dyDescent="0.25">
      <c r="A48" s="2" t="s">
        <v>176</v>
      </c>
      <c r="B48" s="2" t="s">
        <v>118</v>
      </c>
      <c r="C48" s="2" t="s">
        <v>254</v>
      </c>
      <c r="D48" s="11">
        <v>35500</v>
      </c>
      <c r="E48" s="2" t="s">
        <v>116</v>
      </c>
      <c r="F48" s="21" t="s">
        <v>119</v>
      </c>
      <c r="G48" s="11">
        <v>39152</v>
      </c>
      <c r="H48" s="2">
        <v>7</v>
      </c>
      <c r="I48" s="2">
        <v>23175</v>
      </c>
      <c r="J48" s="2" t="s">
        <v>233</v>
      </c>
      <c r="K48" s="2">
        <v>7</v>
      </c>
    </row>
    <row r="49" spans="1:11" x14ac:dyDescent="0.25">
      <c r="A49" s="2" t="s">
        <v>177</v>
      </c>
      <c r="B49" s="2" t="s">
        <v>120</v>
      </c>
      <c r="C49" s="2" t="s">
        <v>254</v>
      </c>
      <c r="D49" s="11">
        <v>33000</v>
      </c>
      <c r="E49" s="2" t="s">
        <v>121</v>
      </c>
      <c r="F49" s="21" t="s">
        <v>122</v>
      </c>
      <c r="G49" s="11">
        <v>36653</v>
      </c>
      <c r="H49" s="2">
        <v>13</v>
      </c>
      <c r="I49" s="2">
        <v>26265</v>
      </c>
      <c r="J49" s="2" t="s">
        <v>234</v>
      </c>
      <c r="K49" s="2">
        <v>7</v>
      </c>
    </row>
    <row r="50" spans="1:11" x14ac:dyDescent="0.25">
      <c r="A50" s="2" t="s">
        <v>178</v>
      </c>
      <c r="B50" s="2" t="s">
        <v>123</v>
      </c>
      <c r="C50" s="2" t="s">
        <v>255</v>
      </c>
      <c r="D50" s="11">
        <v>33143</v>
      </c>
      <c r="E50" s="2" t="s">
        <v>124</v>
      </c>
      <c r="F50" s="21" t="s">
        <v>125</v>
      </c>
      <c r="G50" s="11">
        <v>36796</v>
      </c>
      <c r="H50" s="2">
        <v>13</v>
      </c>
      <c r="I50" s="2">
        <v>29767</v>
      </c>
      <c r="J50" s="2" t="s">
        <v>235</v>
      </c>
      <c r="K50" s="2">
        <v>14</v>
      </c>
    </row>
    <row r="51" spans="1:11" x14ac:dyDescent="0.25">
      <c r="A51" s="2" t="s">
        <v>179</v>
      </c>
      <c r="B51" s="2" t="s">
        <v>126</v>
      </c>
      <c r="C51" s="2" t="s">
        <v>255</v>
      </c>
      <c r="D51" s="11">
        <v>34337</v>
      </c>
      <c r="E51" s="2" t="s">
        <v>127</v>
      </c>
      <c r="F51" s="21" t="s">
        <v>128</v>
      </c>
      <c r="G51" s="11">
        <v>37989</v>
      </c>
      <c r="H51" s="2">
        <v>10</v>
      </c>
      <c r="I51" s="2">
        <v>38934</v>
      </c>
      <c r="J51" s="2" t="s">
        <v>236</v>
      </c>
      <c r="K51" s="2">
        <v>14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E8"/>
  <sheetViews>
    <sheetView tabSelected="1" workbookViewId="0">
      <selection activeCell="A2" sqref="A2"/>
    </sheetView>
  </sheetViews>
  <sheetFormatPr defaultRowHeight="16.5" x14ac:dyDescent="0.25"/>
  <cols>
    <col min="1" max="1" width="18.5" customWidth="1"/>
    <col min="2" max="2" width="16.125" customWidth="1"/>
    <col min="3" max="3" width="16" customWidth="1"/>
    <col min="4" max="4" width="22.625" customWidth="1"/>
    <col min="5" max="5" width="26.375" customWidth="1"/>
  </cols>
  <sheetData>
    <row r="1" spans="1:5" ht="27" x14ac:dyDescent="0.25">
      <c r="A1" s="35" t="s">
        <v>261</v>
      </c>
      <c r="B1" s="35"/>
      <c r="C1" s="35"/>
      <c r="D1" s="35"/>
      <c r="E1" s="35"/>
    </row>
    <row r="2" spans="1:5" ht="17.25" thickBot="1" x14ac:dyDescent="0.3">
      <c r="A2" s="3"/>
      <c r="B2" s="3"/>
      <c r="C2" s="3"/>
      <c r="D2" s="3"/>
      <c r="E2" s="3"/>
    </row>
    <row r="3" spans="1:5" ht="30.6" customHeight="1" x14ac:dyDescent="0.25">
      <c r="A3" s="4" t="s">
        <v>180</v>
      </c>
      <c r="B3" s="20" t="s">
        <v>179</v>
      </c>
      <c r="C3" s="7" t="s">
        <v>0</v>
      </c>
      <c r="D3" s="14" t="str">
        <f ca="1">VLOOKUP($B$3,員工基本資料!$A$1:$K$51,COLUMN(INDIRECT(C3)),0)</f>
        <v>張治</v>
      </c>
      <c r="E3" s="10" t="s">
        <v>237</v>
      </c>
    </row>
    <row r="4" spans="1:5" ht="30.6" customHeight="1" x14ac:dyDescent="0.25">
      <c r="A4" s="5" t="s">
        <v>244</v>
      </c>
      <c r="B4" s="16" t="str">
        <f ca="1">VLOOKUP($B$3,員工基本資料!$A$1:$K$51,COLUMN(INDIRECT(A4)),0)</f>
        <v>維修部</v>
      </c>
      <c r="C4" s="8" t="s">
        <v>181</v>
      </c>
      <c r="D4" s="15">
        <f ca="1">VLOOKUP($B$3,員工基本資料!$A$1:$K$51,COLUMN(INDIRECT(C4)),0)</f>
        <v>34337</v>
      </c>
      <c r="E4" s="32"/>
    </row>
    <row r="5" spans="1:5" ht="30.6" customHeight="1" x14ac:dyDescent="0.25">
      <c r="A5" s="5" t="s">
        <v>182</v>
      </c>
      <c r="B5" s="16" t="str">
        <f ca="1">VLOOKUP($B$3,員工基本資料!$A$1:$K$51,COLUMN(INDIRECT(A5)),0)</f>
        <v>維修工程師</v>
      </c>
      <c r="C5" s="8" t="s">
        <v>184</v>
      </c>
      <c r="D5" s="17" t="str">
        <f ca="1">VLOOKUP($B$3,員工基本資料!$A$1:$K$51,COLUMN(INDIRECT(C5)),0)</f>
        <v>02-7081881</v>
      </c>
      <c r="E5" s="32"/>
    </row>
    <row r="6" spans="1:5" ht="30.6" customHeight="1" x14ac:dyDescent="0.25">
      <c r="A6" s="5" t="s">
        <v>183</v>
      </c>
      <c r="B6" s="16">
        <f ca="1">VLOOKUP($B$3,員工基本資料!$A$1:$K$51,COLUMN(INDIRECT(A6)),0)</f>
        <v>10</v>
      </c>
      <c r="C6" s="8" t="s">
        <v>241</v>
      </c>
      <c r="D6" s="18">
        <f ca="1">VLOOKUP($B$3,員工基本資料!$A$1:$K$51,COLUMN(INDIRECT(C6)),0)</f>
        <v>37989</v>
      </c>
      <c r="E6" s="32"/>
    </row>
    <row r="7" spans="1:5" ht="30.6" customHeight="1" x14ac:dyDescent="0.25">
      <c r="A7" s="5" t="s">
        <v>186</v>
      </c>
      <c r="B7" s="34" t="str">
        <f ca="1">VLOOKUP($B$3,員工基本資料!$A$1:$K$51,COLUMN(INDIRECT(A7)),0)</f>
        <v>106台北市大安區復興南路一段390號5樓之3</v>
      </c>
      <c r="C7" s="34" t="e">
        <f ca="1">VLOOKUP($B$3,員工基本資料!$A$1:$K$51,COLUMN(INDIRECT(B7)),0)</f>
        <v>#REF!</v>
      </c>
      <c r="D7" s="34" t="e">
        <f ca="1">VLOOKUP($B$3,員工基本資料!$A$1:$K$51,COLUMN(INDIRECT(C7)),0)</f>
        <v>#REF!</v>
      </c>
      <c r="E7" s="32"/>
    </row>
    <row r="8" spans="1:5" ht="30.6" customHeight="1" thickBot="1" x14ac:dyDescent="0.3">
      <c r="A8" s="6" t="s">
        <v>242</v>
      </c>
      <c r="B8" s="19">
        <f ca="1">VLOOKUP($B$3,員工基本資料!$A$1:$K$51,COLUMN(INDIRECT(A8)),0)</f>
        <v>38934</v>
      </c>
      <c r="C8" s="9" t="s">
        <v>185</v>
      </c>
      <c r="D8" s="13">
        <f ca="1">VLOOKUP($B$3,員工基本資料!$A$1:$K$51,COLUMN(INDIRECT(C8)),0)</f>
        <v>14</v>
      </c>
      <c r="E8" s="33"/>
    </row>
  </sheetData>
  <mergeCells count="3">
    <mergeCell ref="E4:E8"/>
    <mergeCell ref="B7:D7"/>
    <mergeCell ref="A1:E1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11</vt:i4>
      </vt:variant>
    </vt:vector>
  </HeadingPairs>
  <TitlesOfParts>
    <vt:vector size="14" baseType="lpstr">
      <vt:lpstr>設定</vt:lpstr>
      <vt:lpstr>員工基本資料</vt:lpstr>
      <vt:lpstr>個人資料範本</vt:lpstr>
      <vt:lpstr>出生日期</vt:lpstr>
      <vt:lpstr>目前月薪資</vt:lpstr>
      <vt:lpstr>地址</vt:lpstr>
      <vt:lpstr>年假天數</vt:lpstr>
      <vt:lpstr>年資</vt:lpstr>
      <vt:lpstr>到職日期</vt:lpstr>
      <vt:lpstr>姓名</vt:lpstr>
      <vt:lpstr>員工編號</vt:lpstr>
      <vt:lpstr>現任職稱</vt:lpstr>
      <vt:lpstr>部門名稱</vt:lpstr>
      <vt:lpstr>電話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User</cp:lastModifiedBy>
  <dcterms:created xsi:type="dcterms:W3CDTF">2014-04-21T08:51:23Z</dcterms:created>
  <dcterms:modified xsi:type="dcterms:W3CDTF">2018-02-13T14:11:32Z</dcterms:modified>
</cp:coreProperties>
</file>