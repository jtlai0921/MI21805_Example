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完成案例\"/>
    </mc:Choice>
  </mc:AlternateContent>
  <bookViews>
    <workbookView xWindow="0" yWindow="0" windowWidth="16395" windowHeight="5610" activeTab="1"/>
  </bookViews>
  <sheets>
    <sheet name="員工基本資料" sheetId="1" r:id="rId1"/>
    <sheet name="個人資料範本" sheetId="2" r:id="rId2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4" i="2" l="1"/>
  <c r="D4" i="2"/>
  <c r="D5" i="2"/>
  <c r="B7" i="2"/>
  <c r="B5" i="2"/>
  <c r="D8" i="2"/>
  <c r="D3" i="2"/>
  <c r="D6" i="2"/>
  <c r="B8" i="2"/>
  <c r="B6" i="2"/>
  <c r="C7" i="2"/>
  <c r="D7" i="2"/>
</calcChain>
</file>

<file path=xl/sharedStrings.xml><?xml version="1.0" encoding="utf-8"?>
<sst xmlns="http://schemas.openxmlformats.org/spreadsheetml/2006/main" count="325" uniqueCount="258">
  <si>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</si>
  <si>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</si>
  <si>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</si>
  <si>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</si>
  <si>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</si>
  <si>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</si>
  <si>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</si>
  <si>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</si>
  <si>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</si>
  <si>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</si>
  <si>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</si>
  <si>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</si>
  <si>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</si>
  <si>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</si>
  <si>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</si>
  <si>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</si>
  <si>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</si>
  <si>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</si>
  <si>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</si>
  <si>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</si>
  <si>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</si>
  <si>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</si>
  <si>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</si>
  <si>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</si>
  <si>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</si>
  <si>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</si>
  <si>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</si>
  <si>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</si>
  <si>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</si>
  <si>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</si>
  <si>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</si>
  <si>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</si>
  <si>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</si>
  <si>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</si>
  <si>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</si>
  <si>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</si>
  <si>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</si>
  <si>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</si>
  <si>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</si>
  <si>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</si>
  <si>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</si>
  <si>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</si>
  <si>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</si>
  <si>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</si>
  <si>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</si>
  <si>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</si>
  <si>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</si>
  <si>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</si>
  <si>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</si>
  <si>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</si>
  <si>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</si>
  <si>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</si>
  <si>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</si>
  <si>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</si>
  <si>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</si>
  <si>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</si>
  <si>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</si>
  <si>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</si>
  <si>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</si>
  <si>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</si>
  <si>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</si>
  <si>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</si>
  <si>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</si>
  <si>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</si>
  <si>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</si>
  <si>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</si>
  <si>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</si>
  <si>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</si>
  <si>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</si>
  <si>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</si>
  <si>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</si>
  <si>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</si>
  <si>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</si>
  <si>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</si>
  <si>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</si>
  <si>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</si>
  <si>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</si>
  <si>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</si>
  <si>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</si>
  <si>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</si>
  <si>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</si>
  <si>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</si>
  <si>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</si>
  <si>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</si>
  <si>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</si>
  <si>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</si>
  <si>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</si>
  <si>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</si>
  <si>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</si>
  <si>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</si>
  <si>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</si>
  <si>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</si>
  <si>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</si>
  <si>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</si>
  <si>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</si>
  <si>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</si>
  <si>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</si>
  <si>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</si>
  <si>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</si>
  <si>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</si>
  <si>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</si>
  <si>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</si>
  <si>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</si>
  <si>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</si>
  <si>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</si>
  <si>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</si>
  <si>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</si>
  <si>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</si>
  <si>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</si>
  <si>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</si>
  <si>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</si>
  <si>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</si>
  <si>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</si>
  <si>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</si>
  <si>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</si>
  <si>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</si>
  <si>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</si>
  <si>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</si>
  <si>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</si>
  <si>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</si>
  <si>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</si>
  <si>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</si>
  <si>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</si>
  <si>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</si>
  <si>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</si>
  <si>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</si>
  <si>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</si>
  <si>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</si>
  <si>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</si>
  <si>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</si>
  <si>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</si>
  <si>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</si>
  <si>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</si>
  <si>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</si>
  <si>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</si>
  <si>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</si>
  <si>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</si>
  <si>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</si>
  <si>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</si>
  <si>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</si>
  <si>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</si>
  <si>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</si>
  <si>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</si>
  <si>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</si>
  <si>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</si>
  <si>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</si>
  <si>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</si>
  <si>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</si>
  <si>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</si>
  <si>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</si>
  <si>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</si>
  <si>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</si>
  <si>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</si>
  <si>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</si>
  <si>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</si>
  <si>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</si>
  <si>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</si>
  <si>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</si>
  <si>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</si>
  <si>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</si>
  <si>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</si>
  <si>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</si>
  <si>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</si>
  <si>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</si>
  <si>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</si>
  <si>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</si>
  <si>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</si>
  <si>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</si>
  <si>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</si>
  <si>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</si>
  <si>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</si>
  <si>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</si>
  <si>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</si>
  <si>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</si>
  <si>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</si>
  <si>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</si>
  <si>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</si>
  <si>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</si>
  <si>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</si>
  <si>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</si>
  <si>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</si>
  <si>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</si>
  <si>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</si>
  <si>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</si>
  <si>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</si>
  <si>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</si>
  <si>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</si>
  <si>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</si>
  <si>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</si>
  <si>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</si>
  <si>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</si>
  <si>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</si>
  <si>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</si>
  <si>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</si>
  <si>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</si>
  <si>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</si>
  <si>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</si>
  <si>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</si>
  <si>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</si>
  <si>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</si>
  <si>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</si>
  <si>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</si>
  <si>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</si>
  <si>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</si>
  <si>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</si>
  <si>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</si>
  <si>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</si>
  <si>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</si>
  <si>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</si>
  <si>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</si>
  <si>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</si>
  <si>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</si>
  <si>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</si>
  <si>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</si>
  <si>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</si>
  <si>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</si>
  <si>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</si>
  <si>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</si>
  <si>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</si>
  <si>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</si>
  <si>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</si>
  <si>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</si>
  <si>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</si>
  <si>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</si>
  <si>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</si>
  <si>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</si>
  <si>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</si>
  <si>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</si>
  <si>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</si>
  <si>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</si>
  <si>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</si>
  <si>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</si>
  <si>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</si>
  <si>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</si>
  <si>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</si>
  <si>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</si>
  <si>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</si>
  <si>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</si>
  <si>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</si>
  <si>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</si>
  <si>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</si>
  <si>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</si>
  <si>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</si>
  <si>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</si>
  <si>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</si>
  <si>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</si>
  <si>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</si>
  <si>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</si>
  <si>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</si>
  <si>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</si>
  <si>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</si>
  <si>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</si>
  <si>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</si>
  <si>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</si>
  <si>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</si>
  <si>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</si>
  <si>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AE01</t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</si>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</sst>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2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2" activePane="bottomLeft" state="frozen"/>
      <selection pane="bottomLeft" activeCell="A2" sqref="A2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243</v>
      </c>
      <c r="D1" s="12" t="s">
        <v>238</v>
      </c>
      <c r="E1" s="12" t="s">
        <v>1</v>
      </c>
      <c r="F1" s="22" t="s">
        <v>3</v>
      </c>
      <c r="G1" s="12" t="s">
        <v>240</v>
      </c>
      <c r="H1" s="12" t="s">
        <v>239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245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246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246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246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246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247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247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247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247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247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248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248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248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248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248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249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249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249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249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249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249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250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250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250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250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250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251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251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251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251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251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252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252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252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252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252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253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253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253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253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253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254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254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254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254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254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254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254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255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255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activeCell="A2" sqref="A2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26" t="s">
        <v>257</v>
      </c>
      <c r="B1" s="26"/>
      <c r="C1" s="26"/>
      <c r="D1" s="26"/>
      <c r="E1" s="26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 t="s">
        <v>256</v>
      </c>
      <c r="C3" s="7" t="s">
        <v>0</v>
      </c>
      <c r="D3" s="14" t="str">
        <f ca="1">VLOOKUP($B$3,員工基本資料!$A$1:$K$51,COLUMN(INDIRECT(C3)),0)</f>
        <v>方重圍</v>
      </c>
      <c r="E3" s="10" t="s">
        <v>237</v>
      </c>
    </row>
    <row r="4" spans="1:5" ht="30.6" customHeight="1" x14ac:dyDescent="0.25">
      <c r="A4" s="5" t="s">
        <v>244</v>
      </c>
      <c r="B4" s="16" t="str">
        <f ca="1">VLOOKUP($B$3,員工基本資料!$A$1:$K$51,COLUMN(INDIRECT(A4)),0)</f>
        <v>董事長室</v>
      </c>
      <c r="C4" s="8" t="s">
        <v>181</v>
      </c>
      <c r="D4" s="15">
        <f ca="1">VLOOKUP($B$3,員工基本資料!$A$1:$K$51,COLUMN(INDIRECT(C4)),0)</f>
        <v>33482</v>
      </c>
      <c r="E4" s="23"/>
    </row>
    <row r="5" spans="1:5" ht="30.6" customHeight="1" x14ac:dyDescent="0.25">
      <c r="A5" s="5" t="s">
        <v>182</v>
      </c>
      <c r="B5" s="16" t="str">
        <f ca="1">VLOOKUP($B$3,員工基本資料!$A$1:$K$51,COLUMN(INDIRECT(A5)),0)</f>
        <v>顧問工程師</v>
      </c>
      <c r="C5" s="8" t="s">
        <v>184</v>
      </c>
      <c r="D5" s="17" t="str">
        <f ca="1">VLOOKUP($B$3,員工基本資料!$A$1:$K$51,COLUMN(INDIRECT(C5)),0)</f>
        <v>035-780050</v>
      </c>
      <c r="E5" s="23"/>
    </row>
    <row r="6" spans="1:5" ht="30.6" customHeight="1" x14ac:dyDescent="0.25">
      <c r="A6" s="5" t="s">
        <v>183</v>
      </c>
      <c r="B6" s="16">
        <f ca="1">VLOOKUP($B$3,員工基本資料!$A$1:$K$51,COLUMN(INDIRECT(A6)),0)</f>
        <v>12</v>
      </c>
      <c r="C6" s="8" t="s">
        <v>241</v>
      </c>
      <c r="D6" s="18">
        <f ca="1">VLOOKUP($B$3,員工基本資料!$A$1:$K$51,COLUMN(INDIRECT(C6)),0)</f>
        <v>37135</v>
      </c>
      <c r="E6" s="23"/>
    </row>
    <row r="7" spans="1:5" ht="30.6" customHeight="1" x14ac:dyDescent="0.25">
      <c r="A7" s="5" t="s">
        <v>186</v>
      </c>
      <c r="B7" s="25" t="str">
        <f ca="1">VLOOKUP($B$3,員工基本資料!$A$1:$K$51,COLUMN(INDIRECT(A7)),0)</f>
        <v>300新竹市科學工業園區工業東四路7號2樓</v>
      </c>
      <c r="C7" s="25" t="e">
        <f ca="1">VLOOKUP($B$3,員工基本資料!$A$1:$K$51,COLUMN(INDIRECT(B7)),0)</f>
        <v>#REF!</v>
      </c>
      <c r="D7" s="25" t="e">
        <f ca="1">VLOOKUP($B$3,員工基本資料!$A$1:$K$51,COLUMN(INDIRECT(C7)),0)</f>
        <v>#REF!</v>
      </c>
      <c r="E7" s="23"/>
    </row>
    <row r="8" spans="1:5" ht="30.6" customHeight="1" thickBot="1" x14ac:dyDescent="0.3">
      <c r="A8" s="6" t="s">
        <v>242</v>
      </c>
      <c r="B8" s="19">
        <f ca="1">VLOOKUP($B$3,員工基本資料!$A$1:$K$51,COLUMN(INDIRECT(A8)),0)</f>
        <v>190550</v>
      </c>
      <c r="C8" s="9" t="s">
        <v>185</v>
      </c>
      <c r="D8" s="13">
        <f ca="1">VLOOKUP($B$3,員工基本資料!$A$1:$K$51,COLUMN(INDIRECT(C8)),0)</f>
        <v>7</v>
      </c>
      <c r="E8" s="24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11</vt:i4>
      </vt:variant>
    </vt:vector>
  </HeadingPairs>
  <TitlesOfParts>
    <vt:vector size="13" baseType="lpstr">
      <vt:lpstr>員工基本資料</vt:lpstr>
      <vt:lpstr>個人資料範本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2018-02-13T14:10:51Z</dcterms:modified>
</cp:coreProperties>
</file>